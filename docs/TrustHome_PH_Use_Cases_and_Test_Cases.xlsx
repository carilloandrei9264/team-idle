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se Cases" sheetId="2" state="visible" r:id="rId4"/>
    <sheet name="Test Cases" sheetId="3" state="visible" r:id="rId5"/>
    <sheet name="Summary" sheetId="4" state="visible" r:id="rId6"/>
    <sheet name="Proposed FRs" sheetId="5" state="visible" r:id="rId7"/>
  </sheets>
  <definedNames>
    <definedName function="false" hidden="true" localSheetId="4" name="_xlnm._FilterDatabase" vbProcedure="false">'Proposed FRs'!$A$1:$E$11</definedName>
    <definedName function="false" hidden="true" localSheetId="2" name="_xlnm._FilterDatabase" vbProcedure="false">'Test Cases'!$A$1:$Q$167</definedName>
    <definedName function="false" hidden="true" localSheetId="1" name="_xlnm._FilterDatabase" vbProcedure="false">'Use Cases'!$A$1:$K$43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<sst xmlns="http://schemas.openxmlformats.org/spreadsheetml/2006/main" count="2823" uniqueCount="1333">
  <si>
    <t xml:space="preserve">TrustHome PH — Use Cases &amp; Test Cases Catalog</t>
  </si>
  <si>
    <t xml:space="preserve">Built from: Build Instructions, System Build Plan, Firebase Setup Plan, Design Guide, Versioning Plan, QA Documentation (Sept 27) and Current Progress Report (Sept 30, 2026).</t>
  </si>
  <si>
    <t xml:space="preserve">Sheets</t>
  </si>
  <si>
    <t xml:space="preserve">Use Cases — 42 use cases with actor, preconditions, main flow, alternate/exception flows, postconditions, source.</t>
  </si>
  <si>
    <t xml:space="preserve">Test Cases — every test case. IDs from the QA doc are kept; new ones continue each prefix.</t>
  </si>
  <si>
    <t xml:space="preserve">Summary — live counts by module, status and origin (formulas; update automatically as you change Status).</t>
  </si>
  <si>
    <t xml:space="preserve">Proposed FRs — FR-019 to FR-024 for features added after the QA doc (Sept 28–30).</t>
  </si>
  <si>
    <t xml:space="preserve">Origin column</t>
  </si>
  <si>
    <t xml:space="preserve">Existing (QA doc): unchanged from TrustHomePH_QA_Documentation_Updated.docx.</t>
  </si>
  <si>
    <t xml:space="preserve">Updated: exists in the QA doc but the expected result or data must change because of the Sept 28–30 changes (see Remarks).</t>
  </si>
  <si>
    <t xml:space="preserve">New: not yet in the QA doc.</t>
  </si>
  <si>
    <t xml:space="preserve">Retired: feature removed (Saved Searches); keep for traceability only.</t>
  </si>
  <si>
    <t xml:space="preserve">How to use</t>
  </si>
  <si>
    <t xml:space="preserve">Edit only the yellow columns in Test Cases: Status, Actual Result, Tester, Date. Status uses a dropdown.</t>
  </si>
  <si>
    <t xml:space="preserve">Example: Status = Passed · Actual Result = 'Booking created as Pending; owner bell shows 1' · Tester = Laurente · Date = 2026-10-01.</t>
  </si>
  <si>
    <t xml:space="preserve">Blocked cases mostly wait on deploying the latest firestore.rules (BUG-008) — run TC-SEC-007 first.</t>
  </si>
  <si>
    <t xml:space="preserve">Key changes you need to reflect in the QA doc</t>
  </si>
  <si>
    <t xml:space="preserve">1. TC-INTAKE-001 / Table 4 / FR-002: a 120-word description is now ACCEPTED; only empty or &gt;400 words is blocked.</t>
  </si>
  <si>
    <t xml:space="preserve">2. TC-BOOK-007 / FR-008 / US-008: only the renter marks Completed; owner button removed.</t>
  </si>
  <si>
    <t xml:space="preserve">3. TC-DISP-001/003: submitting a dispute sets the booking to Disputed; Dismissed restores the prior status.</t>
  </si>
  <si>
    <t xml:space="preserve">4. TC-SAVE-001/002 and FR-017: Saved Searches retired; replaced by redirect test TC-NAV-004.</t>
  </si>
  <si>
    <t xml:space="preserve">5. TC-AUTO-001/004: test counts are now 33 and 14; BUG-007 (bundle warning) resolved by vendor chunk splitting.</t>
  </si>
  <si>
    <t xml:space="preserve">6. TC-MAP-003 is Failed: 'Use my exact address' button not rendering in the live browser — log it as a new defect.</t>
  </si>
  <si>
    <t xml:space="preserve">UC ID</t>
  </si>
  <si>
    <t xml:space="preserve">Use Case</t>
  </si>
  <si>
    <t xml:space="preserve">Module</t>
  </si>
  <si>
    <t xml:space="preserve">Primary Actor</t>
  </si>
  <si>
    <t xml:space="preserve">Related FR</t>
  </si>
  <si>
    <t xml:space="preserve">Preconditions</t>
  </si>
  <si>
    <t xml:space="preserve">Main Flow</t>
  </si>
  <si>
    <t xml:space="preserve">Alternate / Exception Flows</t>
  </si>
  <si>
    <t xml:space="preserve">Postconditions</t>
  </si>
  <si>
    <t xml:space="preserve">Source</t>
  </si>
  <si>
    <t xml:space="preserve">Version</t>
  </si>
  <si>
    <t xml:space="preserve">UC-01</t>
  </si>
  <si>
    <t xml:space="preserve">Register an account</t>
  </si>
  <si>
    <t xml:space="preserve">Authentication</t>
  </si>
  <si>
    <t xml:space="preserve">Guest</t>
  </si>
  <si>
    <t xml:space="preserve">FR-001</t>
  </si>
  <si>
    <t xml:space="preserve">Visitor is signed out.</t>
  </si>
  <si>
    <t xml:space="preserve">1. Open Login / Register.
2. Enter name, email, password.
3. Submit.
4. System creates Firebase Auth account and users/{uid} profile (role user, status active).
5. Redirect to home/dashboard.</t>
  </si>
  <si>
    <t xml:space="preserve">A1. Email already in use -&gt; inline error.
A2. Weak/short password -&gt; inline error.
A3. Network failure -&gt; error message, no partial profile.</t>
  </si>
  <si>
    <t xml:space="preserve">User is signed in with an active user profile.</t>
  </si>
  <si>
    <t xml:space="preserve">Build Instructions §2.3, §6; Firebase Setup §4</t>
  </si>
  <si>
    <t xml:space="preserve">v0.1</t>
  </si>
  <si>
    <t xml:space="preserve">UC-02</t>
  </si>
  <si>
    <t xml:space="preserve">Log in with email and password</t>
  </si>
  <si>
    <t xml:space="preserve">User / Admin</t>
  </si>
  <si>
    <t xml:space="preserve">Account exists.</t>
  </si>
  <si>
    <t xml:space="preserve">1. Open Login.
2. Enter email + password.
3. System authenticates and loads profile.
4. Redirect to the user's landing page.</t>
  </si>
  <si>
    <t xml:space="preserve">A1. Wrong password / unknown email -&gt; inline error, no session.
A2. Suspended account -&gt; suspended-account screen; protected actions blocked.</t>
  </si>
  <si>
    <t xml:space="preserve">Session active; nav shows account menu + bell.</t>
  </si>
  <si>
    <t xml:space="preserve">Build Instructions §6</t>
  </si>
  <si>
    <t xml:space="preserve">UC-03</t>
  </si>
  <si>
    <t xml:space="preserve">Sign in with Google</t>
  </si>
  <si>
    <t xml:space="preserve">Guest / User</t>
  </si>
  <si>
    <t xml:space="preserve">Google sign-in enabled in Firebase.</t>
  </si>
  <si>
    <t xml:space="preserve">1. Click Continue with Google.
2. Choose account.
3. On first sign-in, system creates users profile.
4. Redirect.</t>
  </si>
  <si>
    <t xml:space="preserve">A1. User closes popup -&gt; stays on login, no error loop.
A2. Existing email/password account with same email -&gt; handled without duplicate profile.</t>
  </si>
  <si>
    <t xml:space="preserve">Signed in; single profile per UID.</t>
  </si>
  <si>
    <t xml:space="preserve">Firebase Setup §4</t>
  </si>
  <si>
    <t xml:space="preserve">UC-04</t>
  </si>
  <si>
    <t xml:space="preserve">Log out</t>
  </si>
  <si>
    <t xml:space="preserve">User is signed in.</t>
  </si>
  <si>
    <t xml:space="preserve">1. Open account menu.
2. Click Log out.
3. Session cleared; redirected to public page.</t>
  </si>
  <si>
    <t xml:space="preserve">A1. Using back button after logout does not reveal protected pages.</t>
  </si>
  <si>
    <t xml:space="preserve">Signed out.</t>
  </si>
  <si>
    <t xml:space="preserve">Design Guide p.10</t>
  </si>
  <si>
    <t xml:space="preserve">UC-05</t>
  </si>
  <si>
    <t xml:space="preserve">Manage profile / account</t>
  </si>
  <si>
    <t xml:space="preserve">Account</t>
  </si>
  <si>
    <t xml:space="preserve">User</t>
  </si>
  <si>
    <t xml:space="preserve">Signed in.</t>
  </si>
  <si>
    <t xml:space="preserve">1. Open profile/account page.
2. Edit allowed fields (e.g., name).
3. Save.</t>
  </si>
  <si>
    <t xml:space="preserve">A1. User cannot change own role or status (rules deny).</t>
  </si>
  <si>
    <t xml:space="preserve">Profile updated; role/status unchanged.</t>
  </si>
  <si>
    <t xml:space="preserve">Progress Report v0.1</t>
  </si>
  <si>
    <t xml:space="preserve">UC-06</t>
  </si>
  <si>
    <t xml:space="preserve">Create a listing and submit for review</t>
  </si>
  <si>
    <t xml:space="preserve">Listing Intake</t>
  </si>
  <si>
    <t xml:space="preserve">User (Owner)</t>
  </si>
  <si>
    <t xml:space="preserve">FR-002, FR-003</t>
  </si>
  <si>
    <t xml:space="preserve">Signed in, active account.</t>
  </si>
  <si>
    <t xml:space="preserve">1. Open Create Listing (multi-step).
2. Enter type, address/area, city, bedrooms, bathrooms, size, rent, availability date, amenities, description.
3. Upload &gt;= 4 photos to Cloudinary.
4. Upload one ownership document + one government photo ID.
5. Add &gt;= 1 showing window (day + start/end time).
6. Optionally place an approximate map pin.
7. Submit -&gt; verificationStatus = pending.</t>
  </si>
  <si>
    <t xml:space="preserve">A1. Missing required field -&gt; field-level error, submission blocked.
A2. Description empty/whitespace or &gt; 400 words -&gt; blocked (150 words is a recommendation only).
A3. &lt; 4 photos -&gt; blocked.
A4. Missing either document -&gt; blocked.
A5. No valid showing window / end before start -&gt; blocked.
A6. Upload fails -&gt; error, user can retry.</t>
  </si>
  <si>
    <t xml:space="preserve">Pending listing (not public); exact address stored in listingPrivate/{id}; public doc has no address field.</t>
  </si>
  <si>
    <t xml:space="preserve">Build Instructions §2.1–2.3; Progress Report v1.1, P1</t>
  </si>
  <si>
    <t xml:space="preserve">v0.1 / v1.1</t>
  </si>
  <si>
    <t xml:space="preserve">UC-07</t>
  </si>
  <si>
    <t xml:space="preserve">Edit a listing / resubmit after changes requested</t>
  </si>
  <si>
    <t xml:space="preserve">Owner has an existing listing.</t>
  </si>
  <si>
    <t xml:space="preserve">1. Open My Listings -&gt; Edit.
2. Change fields/photos/documents/showing windows.
3. Save / resubmit.
4. If status was changes-requested, listing returns to pending.</t>
  </si>
  <si>
    <t xml:space="preserve">A1. Edit breaks any intake rule -&gt; same errors as creation (edit parity).
A2. Non-owner opens edit URL -&gt; denied.</t>
  </si>
  <si>
    <t xml:space="preserve">Listing updated; resubmitted listing back in admin queue.</t>
  </si>
  <si>
    <t xml:space="preserve">Progress Report v1.1</t>
  </si>
  <si>
    <t xml:space="preserve">v1.1</t>
  </si>
  <si>
    <t xml:space="preserve">UC-08</t>
  </si>
  <si>
    <t xml:space="preserve">Set location with approximate map pin</t>
  </si>
  <si>
    <t xml:space="preserve">Listing Map &amp; Privacy</t>
  </si>
  <si>
    <t xml:space="preserve">FR-022</t>
  </si>
  <si>
    <t xml:space="preserve">Owner on create/edit listing.</t>
  </si>
  <si>
    <t xml:space="preserve">1. Type a location in map search.
2. Geocoder (with PH-specific retry) returns a pin.
3. Or click 'Use my exact address' to geocode the private address.
4. Adjust pin; save.
5. Public doc stores only a 5-char geohash marked approximate.</t>
  </si>
  <si>
    <t xml:space="preserve">A1. Address not found -&gt; message; owner can place pin manually.
A2. Invalid coordinates -&gt; rejected.
A3. Pin optional -&gt; listing saves without map.
A4. OPEN BUG: 'Use my exact address' button not rendering in live browser.</t>
  </si>
  <si>
    <t xml:space="preserve">Public listing has coarse location only; exact lat/long never public.</t>
  </si>
  <si>
    <t xml:space="preserve">Progress Report P2 Map; cleanup 2026-09-30</t>
  </si>
  <si>
    <t xml:space="preserve">v1.3+</t>
  </si>
  <si>
    <t xml:space="preserve">UC-09</t>
  </si>
  <si>
    <t xml:space="preserve">View My Listings</t>
  </si>
  <si>
    <t xml:space="preserve">Owner Listing Visibility</t>
  </si>
  <si>
    <t xml:space="preserve">FR-023</t>
  </si>
  <si>
    <t xml:space="preserve">Signed in; owns &gt;= 0 listings.</t>
  </si>
  <si>
    <t xml:space="preserve">1. Open My Activity -&gt; My Listings.
2. See card per listing: photo, city, type, bedrooms, price, verification status, review note, pending-request count.
3. View / Edit actions.
4. Tap request count -&gt; Booking Requests tab filtered to that listing.</t>
  </si>
  <si>
    <t xml:space="preserve">A1. No listings -&gt; empty state with Create Listing CTA.
A2. Request count fails to load -&gt; 'unavailable' state (not zero).</t>
  </si>
  <si>
    <t xml:space="preserve">Owner sees status of every listing; exact address/documents not shown.</t>
  </si>
  <si>
    <t xml:space="preserve">Progress Report P1 Owner visibility</t>
  </si>
  <si>
    <t xml:space="preserve">UC-10</t>
  </si>
  <si>
    <t xml:space="preserve">Review a pending listing</t>
  </si>
  <si>
    <t xml:space="preserve">Admin Listing Review</t>
  </si>
  <si>
    <t xml:space="preserve">Admin</t>
  </si>
  <si>
    <t xml:space="preserve">FR-003</t>
  </si>
  <si>
    <t xml:space="preserve">Admin signed in; pending listing exists.</t>
  </si>
  <si>
    <t xml:space="preserve">1. Open Listing Review Queue.
2. View photos, ownership document and government ID next to account name.
3. Check name match + document validity (plausibility only).
4. Choose Approve, Request changes (with note), or Reject (with note).
5. Owner is notified.</t>
  </si>
  <si>
    <t xml:space="preserve">A1. Document PDF fails to render -&gt; link still openable.
A2. Queue load fails -&gt; error + Retry.</t>
  </si>
  <si>
    <t xml:space="preserve">Approved -&gt; verified + verifiedAt, public with 'Verified – document reviewed' badge. Changes requested -&gt; owner sees note. Rejected -&gt; permanent.</t>
  </si>
  <si>
    <t xml:space="preserve">Build Instructions §2.2, §2.3; Build Plan §3</t>
  </si>
  <si>
    <t xml:space="preserve">UC-11</t>
  </si>
  <si>
    <t xml:space="preserve">Browse and filter verified listings</t>
  </si>
  <si>
    <t xml:space="preserve">Search &amp; Browse</t>
  </si>
  <si>
    <t xml:space="preserve">FR-004</t>
  </si>
  <si>
    <t xml:space="preserve">Verified listings exist.</t>
  </si>
  <si>
    <t xml:space="preserve">1. Open Browse.
2. Apply city, price range, type filters.
3. Results sorted by Trust &amp; Fairness Score by default.
4. Change sort.</t>
  </si>
  <si>
    <t xml:space="preserve">A1. No matches -&gt; empty state.
A2. Pending/rejected/suspended listings never shown.</t>
  </si>
  <si>
    <t xml:space="preserve">Filtered verified list displayed.</t>
  </si>
  <si>
    <t xml:space="preserve">Build Instructions §3.1; Design Guide p.2</t>
  </si>
  <si>
    <t xml:space="preserve">UC-12</t>
  </si>
  <si>
    <t xml:space="preserve">View listing details</t>
  </si>
  <si>
    <t xml:space="preserve">FR-004, FR-010, FR-022</t>
  </si>
  <si>
    <t xml:space="preserve">Listing is verified.</t>
  </si>
  <si>
    <t xml:space="preserve">1. Open a listing card.
2. See photos, Verified badge, price, trust score + cue, price-fairness label, availability/showing windows, reviews, approximate map, Request Booking CTA.</t>
  </si>
  <si>
    <t xml:space="preserve">A1. No pin -&gt; map hidden.
A2. Guest clicks Request Booking -&gt; prompted to sign in.
A3. Pending listing URL opened by non-owner -&gt; not found/denied.</t>
  </si>
  <si>
    <t xml:space="preserve">Details displayed; no exact address or documents visible.</t>
  </si>
  <si>
    <t xml:space="preserve">Design Guide p.3; Progress Report v1.3</t>
  </si>
  <si>
    <t xml:space="preserve">v0.1 / v1.3</t>
  </si>
  <si>
    <t xml:space="preserve">UC-13</t>
  </si>
  <si>
    <t xml:space="preserve">View a public profile</t>
  </si>
  <si>
    <t xml:space="preserve">Public Profile</t>
  </si>
  <si>
    <t xml:space="preserve">FR-018</t>
  </si>
  <si>
    <t xml:space="preserve">Target user exists.</t>
  </si>
  <si>
    <t xml:space="preserve">1. Open owner's profile from listing.
2. See trust score, rating, Verified badge, founded-dispute flag (if count &gt; 0).</t>
  </si>
  <si>
    <t xml:space="preserve">A1. No founded disputes -&gt; no warning.</t>
  </si>
  <si>
    <t xml:space="preserve">Profile displayed; flag computed from Founded disputes.</t>
  </si>
  <si>
    <t xml:space="preserve">Design Guide p.11; Build Plan §6</t>
  </si>
  <si>
    <t xml:space="preserve">v0.3</t>
  </si>
  <si>
    <t xml:space="preserve">UC-14</t>
  </si>
  <si>
    <t xml:space="preserve">Request a booking / viewing</t>
  </si>
  <si>
    <t xml:space="preserve">Booking</t>
  </si>
  <si>
    <t xml:space="preserve">User (Renter)</t>
  </si>
  <si>
    <t xml:space="preserve">FR-005, FR-006</t>
  </si>
  <si>
    <t xml:space="preserve">Signed in; listing verified; not the renter's own listing.</t>
  </si>
  <si>
    <t xml:space="preserve">1. On Listing Detail click Request Booking.
2. Select start/end date (within showing windows).
3. System checks overlap against Confirmed bookings only.
4. Create booking status Pending.
5. Owner notified.</t>
  </si>
  <si>
    <t xml:space="preserve">A1. Overlap with Confirmed -&gt; 'dates unavailable', no doc.
A2. End before start / past date -&gt; blocked.
A3. Dates not selected -&gt; button disabled with reason.
A4. Pending overlaps are allowed (competing requests).
A5. Suspended user -&gt; blocked.</t>
  </si>
  <si>
    <t xml:space="preserve">Pending booking exists; owner has a notification.</t>
  </si>
  <si>
    <t xml:space="preserve">Build Instructions §3.1, §4; Build Plan §4</t>
  </si>
  <si>
    <t xml:space="preserve">v0.2</t>
  </si>
  <si>
    <t xml:space="preserve">UC-15</t>
  </si>
  <si>
    <t xml:space="preserve">Confirm a booking request</t>
  </si>
  <si>
    <t xml:space="preserve">Pending request on owner's listing.</t>
  </si>
  <si>
    <t xml:space="preserve">1. Open My Activity -&gt; Booking Requests.
2. Click Confirm.
3. System re-checks overlap at confirm time (transaction).
4. Status -&gt; Confirmed.
5. Renter notified.</t>
  </si>
  <si>
    <t xml:space="preserve">A1. Another request for same dates already confirmed -&gt; rejected (first confirmation wins).
A2. Non-owner attempts confirm -&gt; denied.</t>
  </si>
  <si>
    <t xml:space="preserve">Booking Confirmed; range blocks future overlaps.</t>
  </si>
  <si>
    <t xml:space="preserve">Build Instructions §4; Build Plan §4</t>
  </si>
  <si>
    <t xml:space="preserve">UC-16</t>
  </si>
  <si>
    <t xml:space="preserve">Decline a pending request</t>
  </si>
  <si>
    <t xml:space="preserve">FR-005</t>
  </si>
  <si>
    <t xml:space="preserve">1. Open Booking Requests.
2. Click Decline.
3. Pending booking document deleted (no 'Cancelled' status).</t>
  </si>
  <si>
    <t xml:space="preserve">A1. Attempt to decline a Confirmed booking -&gt; not allowed.</t>
  </si>
  <si>
    <t xml:space="preserve">Request removed.</t>
  </si>
  <si>
    <t xml:space="preserve">Progress Report v1.2</t>
  </si>
  <si>
    <t xml:space="preserve">v1.2</t>
  </si>
  <si>
    <t xml:space="preserve">UC-17</t>
  </si>
  <si>
    <t xml:space="preserve">Log deposit transaction reference</t>
  </si>
  <si>
    <t xml:space="preserve">Deposit Accountability</t>
  </si>
  <si>
    <t xml:space="preserve">FR-007</t>
  </si>
  <si>
    <t xml:space="preserve">Renter's booking is Confirmed; deposit paid off-platform (GCash/bank).</t>
  </si>
  <si>
    <t xml:space="preserve">1. Open My Bookings -&gt; booking.
2. Enter transaction reference.
3. Save; reference visible to renter and owner.</t>
  </si>
  <si>
    <t xml:space="preserve">A1. Booking Pending -&gt; field unavailable.
A2. Empty reference -&gt; validation error.
A3. Owner or third party tries to write it -&gt; denied.</t>
  </si>
  <si>
    <t xml:space="preserve">depositReference stored on booking.</t>
  </si>
  <si>
    <t xml:space="preserve">Build Instructions §3.2</t>
  </si>
  <si>
    <t xml:space="preserve">UC-18</t>
  </si>
  <si>
    <t xml:space="preserve">Mark a booking completed</t>
  </si>
  <si>
    <t xml:space="preserve">Booking Completion</t>
  </si>
  <si>
    <t xml:space="preserve">FR-008</t>
  </si>
  <si>
    <t xml:space="preserve">Renter's booking is Confirmed.</t>
  </si>
  <si>
    <t xml:space="preserve">1. Open My Bookings.
2. Click Mark completed (renter is the single manual authority).
3. Status -&gt; Completed; rating prompt shown.</t>
  </si>
  <si>
    <t xml:space="preserve">A1. Owner side has no Mark completed button.
A2. Pending booking cannot be completed.</t>
  </si>
  <si>
    <t xml:space="preserve">Booking Completed; counts toward trust score.</t>
  </si>
  <si>
    <t xml:space="preserve">Progress Report P1 duplicate completion</t>
  </si>
  <si>
    <t xml:space="preserve">v1.2 / v1.3+</t>
  </si>
  <si>
    <t xml:space="preserve">UC-19</t>
  </si>
  <si>
    <t xml:space="preserve">Auto-complete expired bookings</t>
  </si>
  <si>
    <t xml:space="preserve">Scheduled Jobs</t>
  </si>
  <si>
    <t xml:space="preserve">System (GitHub Actions)</t>
  </si>
  <si>
    <t xml:space="preserve">Confirmed bookings with endDate &lt; today.</t>
  </si>
  <si>
    <t xml:space="preserve">1. Workflow runs complete_expired_bookings.py.
2. Matching bookings -&gt; Completed.
3. Trust-score recomputation runs next.</t>
  </si>
  <si>
    <t xml:space="preserve">A1. Non-expired or non-Confirmed bookings untouched.
A2. Workflow failure -&gt; visible in Actions history; manual re-run.</t>
  </si>
  <si>
    <t xml:space="preserve">Expired bookings Completed.</t>
  </si>
  <si>
    <t xml:space="preserve">Build Plan §4; Progress Report v0.2</t>
  </si>
  <si>
    <t xml:space="preserve">UC-20</t>
  </si>
  <si>
    <t xml:space="preserve">View exact address after confirmation</t>
  </si>
  <si>
    <t xml:space="preserve">FR-024</t>
  </si>
  <si>
    <t xml:space="preserve">Renter has a Confirmed booking.</t>
  </si>
  <si>
    <t xml:space="preserve">1. Open the confirmed booking.
2. Exact property address is shown (handoff from listingPrivate).</t>
  </si>
  <si>
    <t xml:space="preserve">A1. Pending/declined booking -&gt; address hidden.
A2. Unrelated user -&gt; denied.</t>
  </si>
  <si>
    <t xml:space="preserve">Renter sees exact address only after confirmation.</t>
  </si>
  <si>
    <t xml:space="preserve">Build Instructions §2.1; cleanup 2026-09-30</t>
  </si>
  <si>
    <t xml:space="preserve">UC-21</t>
  </si>
  <si>
    <t xml:space="preserve">View My Activity</t>
  </si>
  <si>
    <t xml:space="preserve">Navigation &amp; Settings</t>
  </si>
  <si>
    <t xml:space="preserve">FR-021</t>
  </si>
  <si>
    <t xml:space="preserve">1. Open account menu -&gt; My Activity.
2. Switch tabs: My Listings, My Bookings, Booking Requests (tab reflected in URL).</t>
  </si>
  <si>
    <t xml:space="preserve">A1. Old direct routes still work.
A2. New user -&gt; empty states in each tab.</t>
  </si>
  <si>
    <t xml:space="preserve">One entry point for all activity.</t>
  </si>
  <si>
    <t xml:space="preserve">Progress Report P2 Navigation</t>
  </si>
  <si>
    <t xml:space="preserve">UC-22</t>
  </si>
  <si>
    <t xml:space="preserve">Rate and review a completed booking</t>
  </si>
  <si>
    <t xml:space="preserve">Ratings &amp; Reviews</t>
  </si>
  <si>
    <t xml:space="preserve">User (Renter / Owner)</t>
  </si>
  <si>
    <t xml:space="preserve">Booking is Completed.</t>
  </si>
  <si>
    <t xml:space="preserve">1. Open rating prompt.
2. Select 1–5 score, optional comment.
3. Submit; review shows on listing.</t>
  </si>
  <si>
    <t xml:space="preserve">A1. Booking not Completed -&gt; denied.
A2. Duplicate rating by same rater -&gt; blocked.
A3. Score outside 1–5 -&gt; rejected.</t>
  </si>
  <si>
    <t xml:space="preserve">Rating stored; trust score updated on next run.</t>
  </si>
  <si>
    <t xml:space="preserve">Build Instructions §4; Build Plan §2</t>
  </si>
  <si>
    <t xml:space="preserve">UC-23</t>
  </si>
  <si>
    <t xml:space="preserve">Raise a dispute</t>
  </si>
  <si>
    <t xml:space="preserve">Disputes</t>
  </si>
  <si>
    <t xml:space="preserve">FR-009</t>
  </si>
  <si>
    <t xml:space="preserve">Renter's booking is Confirmed (or Completed, per agreed window).</t>
  </si>
  <si>
    <t xml:space="preserve">1. Open booking -&gt; Raise Dispute.
2. Enter reason + evidence description.
3. Submit: dispute Open; booking prior status recorded; booking -&gt; Disputed; dispute id linked.
4. Admins notified.</t>
  </si>
  <si>
    <t xml:space="preserve">A1. Duplicate open dispute on same booking -&gt; blocked.
A2. Pending booking -&gt; not allowed.
A3. Empty reason -&gt; validation.</t>
  </si>
  <si>
    <t xml:space="preserve">Open dispute in admin queue; booking Disputed.</t>
  </si>
  <si>
    <t xml:space="preserve">Build Instructions §3.3; Progress Report P1 Dispute</t>
  </si>
  <si>
    <t xml:space="preserve">v0.3 / v1.3+</t>
  </si>
  <si>
    <t xml:space="preserve">UC-24</t>
  </si>
  <si>
    <t xml:space="preserve">Resolve a dispute</t>
  </si>
  <si>
    <t xml:space="preserve">Open dispute exists.</t>
  </si>
  <si>
    <t xml:space="preserve">1. Open Dispute Review Queue.
2. Review booking, reporter, reason, deposit reference.
3. Mark Founded or Dismissed with notes.
4. Reporter notified.</t>
  </si>
  <si>
    <t xml:space="preserve">A1. Founded -&gt; owner account + listing suspended, booking stays Disputed, public accountability count +1.
A2. Dismissed -&gt; booking restored to prior status, no flag.
A3. Non-admin attempts -&gt; denied.</t>
  </si>
  <si>
    <t xml:space="preserve">Dispute closed with decision-maker, notes and resolvedAt.</t>
  </si>
  <si>
    <t xml:space="preserve">Build Instructions §3.3; Build Plan §6</t>
  </si>
  <si>
    <t xml:space="preserve">UC-25</t>
  </si>
  <si>
    <t xml:space="preserve">Recompute trust scores</t>
  </si>
  <si>
    <t xml:space="preserve">Trust &amp; Fairness Score</t>
  </si>
  <si>
    <t xml:space="preserve">FR-010</t>
  </si>
  <si>
    <t xml:space="preserve">Verified listings, bookings, ratings exist.</t>
  </si>
  <si>
    <t xml:space="preserve">1. Workflow runs trust-score recomputation.
2. For each verified listing: booking score (recency-weighted Completed only), rating score, fairness score.
3. Write trustScores/{listingId} with label + computedAt.</t>
  </si>
  <si>
    <t xml:space="preserve">A1. No ratings -&gt; no divide-by-zero.
A2. No comparables -&gt; 'Insufficient data'.</t>
  </si>
  <si>
    <t xml:space="preserve">trustScores refreshed; Browse ordered by score.</t>
  </si>
  <si>
    <t xml:space="preserve">Build Plan §5</t>
  </si>
  <si>
    <t xml:space="preserve">v0.1–v1.3</t>
  </si>
  <si>
    <t xml:space="preserve">UC-26</t>
  </si>
  <si>
    <t xml:space="preserve">Flag repeated self-booking pattern</t>
  </si>
  <si>
    <t xml:space="preserve">Anti-Gaming</t>
  </si>
  <si>
    <t xml:space="preserve">System / Admin</t>
  </si>
  <si>
    <t xml:space="preserve">FR-011</t>
  </si>
  <si>
    <t xml:space="preserve">Same renter–owner pair has completed bookings.</t>
  </si>
  <si>
    <t xml:space="preserve">1. Recompute detects &gt;= 3 completed bookings for same pair within 30 days.
2. Set manualReviewRequired = true, selfBookingPatternCount.
3. Admin reviews.</t>
  </si>
  <si>
    <t xml:space="preserve">A1. Only 2 in 30 days, or 3 spread over &gt; 30 days -&gt; no flag.</t>
  </si>
  <si>
    <t xml:space="preserve">Suspicious listing flagged for manual review.</t>
  </si>
  <si>
    <t xml:space="preserve">Build Instructions §5; Progress Report v1.3</t>
  </si>
  <si>
    <t xml:space="preserve">v1.3</t>
  </si>
  <si>
    <t xml:space="preserve">UC-27</t>
  </si>
  <si>
    <t xml:space="preserve">View owner dashboard</t>
  </si>
  <si>
    <t xml:space="preserve">Owner Dashboard</t>
  </si>
  <si>
    <t xml:space="preserve">FR-012</t>
  </si>
  <si>
    <t xml:space="preserve">1. Open My Dashboard.
2. See listings, inquiries, pending requests, confirmed bookings, completed stays.</t>
  </si>
  <si>
    <t xml:space="preserve">A1. New user -&gt; zeros/empty state with CTA.</t>
  </si>
  <si>
    <t xml:space="preserve">Counts match Firestore.</t>
  </si>
  <si>
    <t xml:space="preserve">Build Instructions §6 (#10); Design Guide p.12</t>
  </si>
  <si>
    <t xml:space="preserve">UC-28</t>
  </si>
  <si>
    <t xml:space="preserve">View and manage notifications</t>
  </si>
  <si>
    <t xml:space="preserve">Notifications</t>
  </si>
  <si>
    <t xml:space="preserve">FR-013, FR-020</t>
  </si>
  <si>
    <t xml:space="preserve">1. Bell shows unread count.
2. Open /notifications.
3. Mark one / all read.</t>
  </si>
  <si>
    <t xml:space="preserve">A1. No notifications -&gt; empty state.
A2. Cannot read other users' notifications.
A3. Notification write failure does not fail the main action.</t>
  </si>
  <si>
    <t xml:space="preserve">Unread count accurate.</t>
  </si>
  <si>
    <t xml:space="preserve">Progress Report v1.3 Notifications</t>
  </si>
  <si>
    <t xml:space="preserve">UC-29</t>
  </si>
  <si>
    <t xml:space="preserve">View admin dispute notifications</t>
  </si>
  <si>
    <t xml:space="preserve">Admin signed in.</t>
  </si>
  <si>
    <t xml:space="preserve">1. Admin bell inside /admin/* shows dispute notifications only.
2. Open admin inbox; mark read (shared read state).</t>
  </si>
  <si>
    <t xml:space="preserve">A1. Booking-request notices never appear for admins.
A2. Regular users cannot read __admins__ feed.</t>
  </si>
  <si>
    <t xml:space="preserve">Admin feed contains disputes only.</t>
  </si>
  <si>
    <t xml:space="preserve">Progress Report P0 Notification split</t>
  </si>
  <si>
    <t xml:space="preserve">UC-30</t>
  </si>
  <si>
    <t xml:space="preserve">Scrape Metrobank catalog</t>
  </si>
  <si>
    <t xml:space="preserve">Bank Catalog</t>
  </si>
  <si>
    <t xml:space="preserve">FR-014</t>
  </si>
  <si>
    <t xml:space="preserve">FIREBASE_SERVICE_ACCOUNT secret set.</t>
  </si>
  <si>
    <t xml:space="preserve">1. Workflow writes key file from secret.
2. Scraper fetches Metrobank pages.
3. Upserts bankProperties/metrobank_&lt;ref&gt; with merge, status active, lastSeen.
4. Missing previously-active records -&gt; delisted.</t>
  </si>
  <si>
    <t xml:space="preserve">A1. Layout change breaks scraper -&gt; job fails, marketplace unaffected.
A2. Secret never printed in logs.</t>
  </si>
  <si>
    <t xml:space="preserve">Catalog current with lastSeen.</t>
  </si>
  <si>
    <t xml:space="preserve">Build Plan §7; Firebase Setup §10</t>
  </si>
  <si>
    <t xml:space="preserve">UC-31</t>
  </si>
  <si>
    <t xml:space="preserve">Browse bank-acquired catalog</t>
  </si>
  <si>
    <t xml:space="preserve">bankProperties populated.</t>
  </si>
  <si>
    <t xml:space="preserve">1. Open Bank Catalog.
2. Filter by bank, city, price.
3. Each card shows 'Last verified: &lt;date&gt;'.</t>
  </si>
  <si>
    <t xml:space="preserve">A1. Missing image -&gt; fallback image.
A2. No matches -&gt; empty state.
A3. Delisted properties hidden/marked.</t>
  </si>
  <si>
    <t xml:space="preserve">Read-only catalog displayed.</t>
  </si>
  <si>
    <t xml:space="preserve">Build Plan §7; Design Guide p.7</t>
  </si>
  <si>
    <t xml:space="preserve">UC-32</t>
  </si>
  <si>
    <t xml:space="preserve">Estimate loan amortization</t>
  </si>
  <si>
    <t xml:space="preserve">Loan Calculator</t>
  </si>
  <si>
    <t xml:space="preserve">FR-015</t>
  </si>
  <si>
    <t xml:space="preserve">On a bank property detail page.</t>
  </si>
  <si>
    <t xml:space="preserve">1. Price pre-filled.
2. Enter down payment %, annual rate, term years.
3. Monthly payment computed client-side.</t>
  </si>
  <si>
    <t xml:space="preserve">A1. 0% rate -&gt; P/n (no NaN).
A2. Negative/empty inputs -&gt; validation.
A3. Down payment &gt;= 100% -&gt; validation or zero.</t>
  </si>
  <si>
    <t xml:space="preserve">Estimate displayed.</t>
  </si>
  <si>
    <t xml:space="preserve">Build Plan §8</t>
  </si>
  <si>
    <t xml:space="preserve">UC-33</t>
  </si>
  <si>
    <t xml:space="preserve">Monitor bank catalog status</t>
  </si>
  <si>
    <t xml:space="preserve">Admin Bank Catalog</t>
  </si>
  <si>
    <t xml:space="preserve">FR-014, FR-016</t>
  </si>
  <si>
    <t xml:space="preserve">1. Open Bank Catalog Status / scrape log.
2. See last run per bank.
3. Trigger/re-run workflow (via GitHub Actions).</t>
  </si>
  <si>
    <t xml:space="preserve">A1. Stale lastSeen reveals failed runs.</t>
  </si>
  <si>
    <t xml:space="preserve">Admin knows catalog freshness.</t>
  </si>
  <si>
    <t xml:space="preserve">Design Guide p.20</t>
  </si>
  <si>
    <t xml:space="preserve">UC-34</t>
  </si>
  <si>
    <t xml:space="preserve">Access the admin panel</t>
  </si>
  <si>
    <t xml:space="preserve">Admin Access</t>
  </si>
  <si>
    <t xml:space="preserve">FR-019</t>
  </si>
  <si>
    <t xml:space="preserve">1. Navigate to /admin or a nested admin route.
2. Guard waits with visible status while profile loads.
3. Only role admin + status active renders admin routes.</t>
  </si>
  <si>
    <t xml:space="preserve">A1. Regular user -&gt; redirected.
A2. Suspended -&gt; suspended screen.
A3. Missing/unreadable/incomplete profile -&gt; fail closed with retry message.
A4. Signed out -&gt; login.</t>
  </si>
  <si>
    <t xml:space="preserve">Only verified active admins see admin UI.</t>
  </si>
  <si>
    <t xml:space="preserve">Progress Report P0 Admin login</t>
  </si>
  <si>
    <t xml:space="preserve">UC-35</t>
  </si>
  <si>
    <t xml:space="preserve">View admin dashboard</t>
  </si>
  <si>
    <t xml:space="preserve">Admin Dashboard</t>
  </si>
  <si>
    <t xml:space="preserve">FR-016</t>
  </si>
  <si>
    <t xml:space="preserve">1. Open Admin Dashboard.
2. See pending-listing count, open-dispute count, recent activity.</t>
  </si>
  <si>
    <t xml:space="preserve">A1. Load error -&gt; message + Retry.</t>
  </si>
  <si>
    <t xml:space="preserve">Design Guide p.16; Progress Report v1.0</t>
  </si>
  <si>
    <t xml:space="preserve">v0.2 / v1.0</t>
  </si>
  <si>
    <t xml:space="preserve">UC-36</t>
  </si>
  <si>
    <t xml:space="preserve">Suspend or reinstate a user</t>
  </si>
  <si>
    <t xml:space="preserve">User Management</t>
  </si>
  <si>
    <t xml:space="preserve">1. Open User Management.
2. Suspend account (danger button, confirm).
3. Later reinstate.</t>
  </si>
  <si>
    <t xml:space="preserve">A1. Suspended user cannot list, book, rate, or dispute.
A2. Admin cannot suspend self (recommended check).</t>
  </si>
  <si>
    <t xml:space="preserve">User status toggled.</t>
  </si>
  <si>
    <t xml:space="preserve">Design Guide p.19</t>
  </si>
  <si>
    <t xml:space="preserve">UC-37</t>
  </si>
  <si>
    <t xml:space="preserve">Change appearance and accessibility settings</t>
  </si>
  <si>
    <t xml:space="preserve">Any user (signed in).</t>
  </si>
  <si>
    <t xml:space="preserve">1. Open Settings.
2. Choose System/Light/Dark.
3. Toggle Larger text, High contrast, Reduce motion.
4. Reload -&gt; preferences persist.</t>
  </si>
  <si>
    <t xml:space="preserve">A1. System mode follows OS preference changes.
A2. Switch thumbs visible in dark mode.</t>
  </si>
  <si>
    <t xml:space="preserve">Preferences applied and persisted.</t>
  </si>
  <si>
    <t xml:space="preserve">Progress Report P2 Settings; Design Guide B7</t>
  </si>
  <si>
    <t xml:space="preserve">UC-38</t>
  </si>
  <si>
    <t xml:space="preserve">Open retired Saved Searches URL</t>
  </si>
  <si>
    <t xml:space="preserve">Saved Searches (Retired)</t>
  </si>
  <si>
    <t xml:space="preserve">FR-017 (retired)</t>
  </si>
  <si>
    <t xml:space="preserve">Legacy link or bookmark.</t>
  </si>
  <si>
    <t xml:space="preserve">1. Open /saved-searches.
2. Redirected to Browse.
3. Existing savedSearches records are not deleted.</t>
  </si>
  <si>
    <t xml:space="preserve">A1. Menu no longer shows Saved Searches.</t>
  </si>
  <si>
    <t xml:space="preserve">Safe redirect; data preserved.</t>
  </si>
  <si>
    <t xml:space="preserve">Progress Report cleanup 2026-09-30</t>
  </si>
  <si>
    <t xml:space="preserve">UC-39</t>
  </si>
  <si>
    <t xml:space="preserve">Seed synthetic demo data</t>
  </si>
  <si>
    <t xml:space="preserve">Operations</t>
  </si>
  <si>
    <t xml:space="preserve">Developer</t>
  </si>
  <si>
    <t xml:space="preserve">NFR</t>
  </si>
  <si>
    <t xml:space="preserve">Firebase Admin credentials available.</t>
  </si>
  <si>
    <t xml:space="preserve">1. Run seed_demo_data.py --dry-run.
2. Review counts.
3. Run seed_demo_data.py.</t>
  </si>
  <si>
    <t xml:space="preserve">A1. No real IDs, passwords or Auth users created.
A2. Placeholder documents labeled synthetic.</t>
  </si>
  <si>
    <t xml:space="preserve">Demo dataset present.</t>
  </si>
  <si>
    <t xml:space="preserve">Progress Report v0.3 validation</t>
  </si>
  <si>
    <t xml:space="preserve">UC-40</t>
  </si>
  <si>
    <t xml:space="preserve">Migrate legacy listing addresses</t>
  </si>
  <si>
    <t xml:space="preserve">Developer / Admin</t>
  </si>
  <si>
    <t xml:space="preserve">Firestore backed up; maintenance window.</t>
  </si>
  <si>
    <t xml:space="preserve">1. Run migrate_listing_addresses.py (dry run default).
2. Inspect counts + conflicts.
3. Run with --apply.
4. Deploy rules and frontend.</t>
  </si>
  <si>
    <t xml:space="preserve">A1. Re-run is idempotent.
A2. Existing private addresses preserved.
A3. Conflicting-owner records reported, not overwritten.</t>
  </si>
  <si>
    <t xml:space="preserve">Public listings have no address field; addresses in listingPrivate.</t>
  </si>
  <si>
    <t xml:space="preserve">Progress Report P2 Map</t>
  </si>
  <si>
    <t xml:space="preserve">UC-41</t>
  </si>
  <si>
    <t xml:space="preserve">Enforce data-access rules</t>
  </si>
  <si>
    <t xml:space="preserve">Security (Firestore Rules)</t>
  </si>
  <si>
    <t xml:space="preserve">System</t>
  </si>
  <si>
    <t xml:space="preserve">NFR-SEC</t>
  </si>
  <si>
    <t xml:space="preserve">Latest firestore.rules deployed.</t>
  </si>
  <si>
    <t xml:space="preserve">1. Every client read/write is evaluated by rules.
2. Deny-all fallback for unmatched paths.</t>
  </si>
  <si>
    <t xml:space="preserve">A1. Direct SDK writes bypassing UI are denied when forbidden.</t>
  </si>
  <si>
    <t xml:space="preserve">Data protected even against malicious clients.</t>
  </si>
  <si>
    <t xml:space="preserve">Firebase Setup §11; Progress Report backend readiness</t>
  </si>
  <si>
    <t xml:space="preserve">UC-42</t>
  </si>
  <si>
    <t xml:space="preserve">Recover from loading and runtime errors</t>
  </si>
  <si>
    <t xml:space="preserve">Release Hardening</t>
  </si>
  <si>
    <t xml:space="preserve">FR-016, NFR-REL</t>
  </si>
  <si>
    <t xml:space="preserve">App running.</t>
  </si>
  <si>
    <t xml:space="preserve">1. Lazy routes show accessible loading fallback.
2. Runtime error -&gt; top-level error screen with Reload.</t>
  </si>
  <si>
    <t xml:space="preserve">A1. Slow network -&gt; fallback, not blank page.</t>
  </si>
  <si>
    <t xml:space="preserve">No blank screens.</t>
  </si>
  <si>
    <t xml:space="preserve">Progress Report v1.0</t>
  </si>
  <si>
    <t xml:space="preserve">v1.0</t>
  </si>
  <si>
    <t xml:space="preserve">TC ID</t>
  </si>
  <si>
    <t xml:space="preserve">FR ID</t>
  </si>
  <si>
    <t xml:space="preserve">Title</t>
  </si>
  <si>
    <t xml:space="preserve">Test Type</t>
  </si>
  <si>
    <t xml:space="preserve">Priority</t>
  </si>
  <si>
    <t xml:space="preserve">Test Steps</t>
  </si>
  <si>
    <t xml:space="preserve">Test Data</t>
  </si>
  <si>
    <t xml:space="preserve">Expected Result</t>
  </si>
  <si>
    <t xml:space="preserve">Origin</t>
  </si>
  <si>
    <t xml:space="preserve">Status</t>
  </si>
  <si>
    <t xml:space="preserve">Actual Result</t>
  </si>
  <si>
    <t xml:space="preserve">Tester</t>
  </si>
  <si>
    <t xml:space="preserve">Date</t>
  </si>
  <si>
    <t xml:space="preserve">Remarks</t>
  </si>
  <si>
    <t xml:space="preserve">TC-AUTH-001</t>
  </si>
  <si>
    <t xml:space="preserve">Register with valid email/password</t>
  </si>
  <si>
    <t xml:space="preserve">Functional</t>
  </si>
  <si>
    <t xml:space="preserve">High</t>
  </si>
  <si>
    <t xml:space="preserve">Signed out</t>
  </si>
  <si>
    <t xml:space="preserve">1. Open Register. 2. Enter name, email, password. 3. Submit.</t>
  </si>
  <si>
    <t xml:space="preserve">New email; password &gt;= 6 chars</t>
  </si>
  <si>
    <t xml:space="preserve">Account created; users/{uid} saved with role user, status active; redirected.</t>
  </si>
  <si>
    <t xml:space="preserve">Existing (QA doc)</t>
  </si>
  <si>
    <t xml:space="preserve">Passed (Dev)</t>
  </si>
  <si>
    <t xml:space="preserve">Re-run on deployed build.</t>
  </si>
  <si>
    <t xml:space="preserve">TC-AUTH-002</t>
  </si>
  <si>
    <t xml:space="preserve">Login with wrong password</t>
  </si>
  <si>
    <t xml:space="preserve">Negative</t>
  </si>
  <si>
    <t xml:space="preserve">Registered account</t>
  </si>
  <si>
    <t xml:space="preserve">1. Open Login. 2. Enter registered email + wrong password. 3. Submit.</t>
  </si>
  <si>
    <t xml:space="preserve">Registered test account</t>
  </si>
  <si>
    <t xml:space="preserve">Inline error shown; no session created.</t>
  </si>
  <si>
    <t xml:space="preserve">TC-AUTH-003</t>
  </si>
  <si>
    <t xml:space="preserve">Google sign-in creates profile on first login</t>
  </si>
  <si>
    <t xml:space="preserve">Google sign-in enabled</t>
  </si>
  <si>
    <t xml:space="preserve">1. Click Continue with Google. 2. Pick account.</t>
  </si>
  <si>
    <t xml:space="preserve">Google test account</t>
  </si>
  <si>
    <t xml:space="preserve">Signed in; profile created on first sign-in only.</t>
  </si>
  <si>
    <t xml:space="preserve">TC-AUTH-004</t>
  </si>
  <si>
    <t xml:space="preserve">Register with an email already in use</t>
  </si>
  <si>
    <t xml:space="preserve">Medium</t>
  </si>
  <si>
    <t xml:space="preserve">Account exists</t>
  </si>
  <si>
    <t xml:space="preserve">1. Register again with same email.</t>
  </si>
  <si>
    <t xml:space="preserve">Existing email</t>
  </si>
  <si>
    <t xml:space="preserve">Inline 'email already in use' error; no second profile.</t>
  </si>
  <si>
    <t xml:space="preserve">New</t>
  </si>
  <si>
    <t xml:space="preserve">Not Run</t>
  </si>
  <si>
    <t xml:space="preserve">TC-AUTH-005</t>
  </si>
  <si>
    <t xml:space="preserve">Register with weak password / invalid email</t>
  </si>
  <si>
    <t xml:space="preserve">1. Enter 'abc' as password, or 'user@' as email. 2. Submit.</t>
  </si>
  <si>
    <t xml:space="preserve">Invalid inputs</t>
  </si>
  <si>
    <t xml:space="preserve">Inline field errors; submit blocked.</t>
  </si>
  <si>
    <t xml:space="preserve">TC-AUTH-006</t>
  </si>
  <si>
    <t xml:space="preserve">Login with valid credentials</t>
  </si>
  <si>
    <t xml:space="preserve">1. Enter valid email + password. 2. Submit.</t>
  </si>
  <si>
    <t xml:space="preserve">Signed in; account menu + bell visible; redirected.</t>
  </si>
  <si>
    <t xml:space="preserve">Mirrors acceptance criteria US-001.</t>
  </si>
  <si>
    <t xml:space="preserve">TC-AUTH-007</t>
  </si>
  <si>
    <t xml:space="preserve">Suspended account login</t>
  </si>
  <si>
    <t xml:space="preserve">Account suspended by admin</t>
  </si>
  <si>
    <t xml:space="preserve">1. Log in as suspended user. 2. Try to create listing / book.</t>
  </si>
  <si>
    <t xml:space="preserve">Suspended test user</t>
  </si>
  <si>
    <t xml:space="preserve">Suspended-account screen/notice; protected actions blocked by UI and rules.</t>
  </si>
  <si>
    <t xml:space="preserve">TC-AUTH-008</t>
  </si>
  <si>
    <t xml:space="preserve">Logout clears session</t>
  </si>
  <si>
    <t xml:space="preserve">Signed in</t>
  </si>
  <si>
    <t xml:space="preserve">1. Log out. 2. Press browser Back. 3. Open /notifications directly.</t>
  </si>
  <si>
    <t xml:space="preserve">Any user</t>
  </si>
  <si>
    <t xml:space="preserve">Session cleared; protected pages redirect to login.</t>
  </si>
  <si>
    <t xml:space="preserve">TC-AUTH-009</t>
  </si>
  <si>
    <t xml:space="preserve">Cancel Google popup</t>
  </si>
  <si>
    <t xml:space="preserve">Low</t>
  </si>
  <si>
    <t xml:space="preserve">1. Click Continue with Google. 2. Close popup.</t>
  </si>
  <si>
    <t xml:space="preserve">-</t>
  </si>
  <si>
    <t xml:space="preserve">Stays on login with no crash or infinite spinner.</t>
  </si>
  <si>
    <t xml:space="preserve">TC-AUTH-010</t>
  </si>
  <si>
    <t xml:space="preserve">User cannot escalate own role/status</t>
  </si>
  <si>
    <t xml:space="preserve">Security</t>
  </si>
  <si>
    <t xml:space="preserve">Signed in as regular user</t>
  </si>
  <si>
    <t xml:space="preserve">1. Via SDK/console, update own users doc role='admin' or status='active' while suspended.</t>
  </si>
  <si>
    <t xml:space="preserve">Regular user</t>
  </si>
  <si>
    <t xml:space="preserve">Write denied by Firestore rules.</t>
  </si>
  <si>
    <t xml:space="preserve">Blocked</t>
  </si>
  <si>
    <t xml:space="preserve">Needs latest rules deployed (BUG-008).</t>
  </si>
  <si>
    <t xml:space="preserve">TC-LIST-001</t>
  </si>
  <si>
    <t xml:space="preserve">FR-002</t>
  </si>
  <si>
    <t xml:space="preserve">Submit a complete valid listing</t>
  </si>
  <si>
    <t xml:space="preserve">1. Complete Create Listing. 2. Upload &gt;=4 photos + both documents. 3. Add showing window. 4. Submit.</t>
  </si>
  <si>
    <t xml:space="preserve">Valid listing data</t>
  </si>
  <si>
    <t xml:space="preserve">Listing saved as pending; not in public search; appears in admin queue.</t>
  </si>
  <si>
    <t xml:space="preserve">Intake rules extended in v1.1.</t>
  </si>
  <si>
    <t xml:space="preserve">TC-INTAKE-001</t>
  </si>
  <si>
    <t xml:space="preserve">Description length rules (updated)</t>
  </si>
  <si>
    <t xml:space="preserve">Negative/Boundary</t>
  </si>
  <si>
    <t xml:space="preserve">Otherwise valid listing</t>
  </si>
  <si>
    <t xml:space="preserve">1. Submit with empty/whitespace description. 2. Submit with 120 words. 3. Submit with 410 words.</t>
  </si>
  <si>
    <t xml:space="preserve">Descriptions: blank, 120 words, 410 words</t>
  </si>
  <si>
    <t xml:space="preserve">Blank -&gt; blocked. 120 words -&gt; ACCEPTED (150 is a recommendation hint only). 410 words -&gt; blocked with inline guidance.</t>
  </si>
  <si>
    <t xml:space="preserve">Updated</t>
  </si>
  <si>
    <t xml:space="preserve">Expected result changed by P1 description fix (was: 120 words blocked). Update QA doc Table 4 &amp; FR-002.</t>
  </si>
  <si>
    <t xml:space="preserve">TC-INTAKE-001B</t>
  </si>
  <si>
    <t xml:space="preserve">Description boundaries 1 / 400 / 401 words</t>
  </si>
  <si>
    <t xml:space="preserve">Boundary</t>
  </si>
  <si>
    <t xml:space="preserve">1. Submit 1-word, 400-word, 401-word descriptions.</t>
  </si>
  <si>
    <t xml:space="preserve">Generated text</t>
  </si>
  <si>
    <t xml:space="preserve">1 and 400 accepted; 401 blocked.</t>
  </si>
  <si>
    <t xml:space="preserve">TC-INTAKE-002</t>
  </si>
  <si>
    <t xml:space="preserve">Fewer than 4 photos</t>
  </si>
  <si>
    <t xml:space="preserve">1. Upload 3 photos. 2. Submit.</t>
  </si>
  <si>
    <t xml:space="preserve">3 images</t>
  </si>
  <si>
    <t xml:space="preserve">Blocked: minimum 4 photos.</t>
  </si>
  <si>
    <t xml:space="preserve">Unit test.</t>
  </si>
  <si>
    <t xml:space="preserve">TC-INTAKE-003</t>
  </si>
  <si>
    <t xml:space="preserve">Missing government ID or ownership document</t>
  </si>
  <si>
    <t xml:space="preserve">1. Upload only ownership doc; submit. 2. Upload only gov ID; submit.</t>
  </si>
  <si>
    <t xml:space="preserve">One document each</t>
  </si>
  <si>
    <t xml:space="preserve">Both blocked until both documents are uploaded.</t>
  </si>
  <si>
    <t xml:space="preserve">TC-INTAKE-004</t>
  </si>
  <si>
    <t xml:space="preserve">Invalid or missing showing window</t>
  </si>
  <si>
    <t xml:space="preserve">1. Remove all windows. 2. Enter end time before start time.</t>
  </si>
  <si>
    <t xml:space="preserve">Window 14:00–10:00</t>
  </si>
  <si>
    <t xml:space="preserve">Blocked: at least one valid window required.</t>
  </si>
  <si>
    <t xml:space="preserve">TC-INTAKE-005</t>
  </si>
  <si>
    <t xml:space="preserve">Request changes then resubmit</t>
  </si>
  <si>
    <t xml:space="preserve">Pending listing</t>
  </si>
  <si>
    <t xml:space="preserve">1. Admin selects Request changes with note. 2. Owner opens My Listings, sees note. 3. Edits and resubmits.</t>
  </si>
  <si>
    <t xml:space="preserve">Owner sees changes-requested + note; resubmission returns listing to pending.</t>
  </si>
  <si>
    <t xml:space="preserve">TC-INTAKE-006</t>
  </si>
  <si>
    <t xml:space="preserve">Edit parity with creation rules</t>
  </si>
  <si>
    <t xml:space="preserve">Existing listing</t>
  </si>
  <si>
    <t xml:space="preserve">1. Edit listing; reduce to 2 photos / blank description. 2. Save.</t>
  </si>
  <si>
    <t xml:space="preserve">Same validation errors as creation; not saved.</t>
  </si>
  <si>
    <t xml:space="preserve">TC-INTAKE-007</t>
  </si>
  <si>
    <t xml:space="preserve">Each required field missing</t>
  </si>
  <si>
    <t xml:space="preserve">Create Listing form</t>
  </si>
  <si>
    <t xml:space="preserve">1. For each of type, address/area, city, bedrooms, bathrooms, size, rent, availability date, amenities: leave blank and submit.</t>
  </si>
  <si>
    <t xml:space="preserve">Field-level inline error under the missing field; no listing doc created.</t>
  </si>
  <si>
    <t xml:space="preserve">Data-driven: 9 iterations.</t>
  </si>
  <si>
    <t xml:space="preserve">TC-INTAKE-008</t>
  </si>
  <si>
    <t xml:space="preserve">Numeric field validation</t>
  </si>
  <si>
    <t xml:space="preserve">1. Enter 0 / negative / non-numeric for rent, size, bedrooms, bathrooms.</t>
  </si>
  <si>
    <t xml:space="preserve">-1, 0, 'abc'</t>
  </si>
  <si>
    <t xml:space="preserve">Rejected with inline error.</t>
  </si>
  <si>
    <t xml:space="preserve">TC-INTAKE-009</t>
  </si>
  <si>
    <t xml:space="preserve">Non-image or oversized photo upload</t>
  </si>
  <si>
    <t xml:space="preserve">1. Upload a .exe/.txt as photo. 2. Upload very large image.</t>
  </si>
  <si>
    <t xml:space="preserve">Invalid files</t>
  </si>
  <si>
    <t xml:space="preserve">Rejected with clear message; no broken URL saved.</t>
  </si>
  <si>
    <t xml:space="preserve">TC-INTAKE-010</t>
  </si>
  <si>
    <t xml:space="preserve">Upload failure feedback</t>
  </si>
  <si>
    <t xml:space="preserve">1. Go offline during photo/document upload.</t>
  </si>
  <si>
    <t xml:space="preserve">DevTools offline</t>
  </si>
  <si>
    <t xml:space="preserve">Error shown with retry; submit stays blocked until upload succeeds.</t>
  </si>
  <si>
    <t xml:space="preserve">Design Guide B8 feedback rule.</t>
  </si>
  <si>
    <t xml:space="preserve">TC-INTAKE-011</t>
  </si>
  <si>
    <t xml:space="preserve">Multi-step form progress indicator</t>
  </si>
  <si>
    <t xml:space="preserve">UI</t>
  </si>
  <si>
    <t xml:space="preserve">1. Walk through details -&gt; photos -&gt; documents steps.</t>
  </si>
  <si>
    <t xml:space="preserve">Progress indicator shown; data kept when moving back/forward.</t>
  </si>
  <si>
    <t xml:space="preserve">Design Guide B8.</t>
  </si>
  <si>
    <t xml:space="preserve">TC-INTAKE-012</t>
  </si>
  <si>
    <t xml:space="preserve">Limitation copy shown</t>
  </si>
  <si>
    <t xml:space="preserve">Create Listing / Listing Detail</t>
  </si>
  <si>
    <t xml:space="preserve">1. Read verification copy.</t>
  </si>
  <si>
    <t xml:space="preserve">UI states review is a document-plausibility check, not a legal title search.</t>
  </si>
  <si>
    <t xml:space="preserve">Build Instructions §7.</t>
  </si>
  <si>
    <t xml:space="preserve">TC-INTAKE-013</t>
  </si>
  <si>
    <t xml:space="preserve">Non-owner cannot edit listing</t>
  </si>
  <si>
    <t xml:space="preserve">Listing owned by user A</t>
  </si>
  <si>
    <t xml:space="preserve">1. As user B open /listings/{id}/edit. 2. Attempt direct update.</t>
  </si>
  <si>
    <t xml:space="preserve">Two users</t>
  </si>
  <si>
    <t xml:space="preserve">UI denies; Firestore update denied.</t>
  </si>
  <si>
    <t xml:space="preserve">Needs rules deploy.</t>
  </si>
  <si>
    <t xml:space="preserve">TC-VER-001</t>
  </si>
  <si>
    <t xml:space="preserve">Approve a pending listing</t>
  </si>
  <si>
    <t xml:space="preserve">Admin; pending listing</t>
  </si>
  <si>
    <t xml:space="preserve">1. Open Listing Review Queue. 2. Approve.</t>
  </si>
  <si>
    <t xml:space="preserve">Seeded pending listing</t>
  </si>
  <si>
    <t xml:space="preserve">verified + verifiedAt; appears in search with 'Verified – document reviewed' badge; owner notified.</t>
  </si>
  <si>
    <t xml:space="preserve">Photo/PDF rendering fixed (BUG-002).</t>
  </si>
  <si>
    <t xml:space="preserve">TC-VER-002</t>
  </si>
  <si>
    <t xml:space="preserve">Signed-out read of pending listing</t>
  </si>
  <si>
    <t xml:space="preserve">1. Sign out. 2. Read pending listing by ID.</t>
  </si>
  <si>
    <t xml:space="preserve">Pending listing ID</t>
  </si>
  <si>
    <t xml:space="preserve">Read denied.</t>
  </si>
  <si>
    <t xml:space="preserve">BUG-008.</t>
  </si>
  <si>
    <t xml:space="preserve">TC-VER-003</t>
  </si>
  <si>
    <t xml:space="preserve">Reject a listing with note</t>
  </si>
  <si>
    <t xml:space="preserve">1. Reject with reason.</t>
  </si>
  <si>
    <t xml:space="preserve">Status rejected; owner sees reason and is notified; never public.</t>
  </si>
  <si>
    <t xml:space="preserve">TC-VER-004</t>
  </si>
  <si>
    <t xml:space="preserve">Queue shows both documents + account name</t>
  </si>
  <si>
    <t xml:space="preserve">Pending listing with photo + PDF docs</t>
  </si>
  <si>
    <t xml:space="preserve">1. Open item in queue.</t>
  </si>
  <si>
    <t xml:space="preserve">JPG ID + PDF deed</t>
  </si>
  <si>
    <t xml:space="preserve">Photos, ownership doc and gov ID viewable next to account name.</t>
  </si>
  <si>
    <t xml:space="preserve">Regression for BUG-002; depends on BUG-006.</t>
  </si>
  <si>
    <t xml:space="preserve">TC-VER-005</t>
  </si>
  <si>
    <t xml:space="preserve">Non-admin cannot approve</t>
  </si>
  <si>
    <t xml:space="preserve">1. Direct write verificationStatus='verified' on own listing.</t>
  </si>
  <si>
    <t xml:space="preserve">Own pending listing</t>
  </si>
  <si>
    <t xml:space="preserve">Write denied.</t>
  </si>
  <si>
    <t xml:space="preserve">TC-VER-006</t>
  </si>
  <si>
    <t xml:space="preserve">Documents not exposed publicly</t>
  </si>
  <si>
    <t xml:space="preserve">Verified listing</t>
  </si>
  <si>
    <t xml:space="preserve">1. As guest, open listing detail and inspect network/page source.</t>
  </si>
  <si>
    <t xml:space="preserve">No ownership/ID document URLs in public data.</t>
  </si>
  <si>
    <t xml:space="preserve">Depends on BUG-006/BUG-008.</t>
  </si>
  <si>
    <t xml:space="preserve">TC-VER-007</t>
  </si>
  <si>
    <t xml:space="preserve">Empty review queue state</t>
  </si>
  <si>
    <t xml:space="preserve">No pending listings</t>
  </si>
  <si>
    <t xml:space="preserve">1. Open queue.</t>
  </si>
  <si>
    <t xml:space="preserve">Empty-state message, no error.</t>
  </si>
  <si>
    <t xml:space="preserve">TC-SRCH-001</t>
  </si>
  <si>
    <t xml:space="preserve">Filter by city, price, type</t>
  </si>
  <si>
    <t xml:space="preserve">Seeded listings</t>
  </si>
  <si>
    <t xml:space="preserve">1. Open Browse. 2. Apply filters.</t>
  </si>
  <si>
    <t xml:space="preserve">Several cities</t>
  </si>
  <si>
    <t xml:space="preserve">Only verified matches shown; empty state when none.</t>
  </si>
  <si>
    <t xml:space="preserve">TC-SRCH-002</t>
  </si>
  <si>
    <t xml:space="preserve">Default sort by trust score</t>
  </si>
  <si>
    <t xml:space="preserve">Integration</t>
  </si>
  <si>
    <t xml:space="preserve">Workflow run</t>
  </si>
  <si>
    <t xml:space="preserve">1. Run workflow. 2. Check computedAt. 3. Open Browse.</t>
  </si>
  <si>
    <t xml:space="preserve">Seeded bookings/ratings</t>
  </si>
  <si>
    <t xml:space="preserve">Listings ordered by score, differing from price/recency sort.</t>
  </si>
  <si>
    <t xml:space="preserve">TC-SRCH-003</t>
  </si>
  <si>
    <t xml:space="preserve">Pending/rejected/suspended listings excluded</t>
  </si>
  <si>
    <t xml:space="preserve">Mixed statuses seeded</t>
  </si>
  <si>
    <t xml:space="preserve">1. Browse without filters.</t>
  </si>
  <si>
    <t xml:space="preserve">Mixed listings</t>
  </si>
  <si>
    <t xml:space="preserve">Only verified, non-suspended listings shown.</t>
  </si>
  <si>
    <t xml:space="preserve">TC-SRCH-004</t>
  </si>
  <si>
    <t xml:space="preserve">Price range boundaries</t>
  </si>
  <si>
    <t xml:space="preserve">1. Set min=max=exact price of one listing. 2. Set min &gt; max.</t>
  </si>
  <si>
    <t xml:space="preserve">Known prices</t>
  </si>
  <si>
    <t xml:space="preserve">Inclusive match; invalid range handled with message.</t>
  </si>
  <si>
    <t xml:space="preserve">TC-SRCH-005</t>
  </si>
  <si>
    <t xml:space="preserve">Listing detail content above the fold</t>
  </si>
  <si>
    <t xml:space="preserve">1. Open listing at 390 px.</t>
  </si>
  <si>
    <t xml:space="preserve">Verified badge + trust score visible without scrolling; Request Booking is the dominant CTA.</t>
  </si>
  <si>
    <t xml:space="preserve">Design Guide Part C.</t>
  </si>
  <si>
    <t xml:space="preserve">TC-SRCH-006</t>
  </si>
  <si>
    <t xml:space="preserve">Guest clicks Request Booking</t>
  </si>
  <si>
    <t xml:space="preserve">1. Open listing. 2. Click Request Booking.</t>
  </si>
  <si>
    <t xml:space="preserve">Prompted to sign in; returns to listing after login.</t>
  </si>
  <si>
    <t xml:space="preserve">TC-SRCH-007</t>
  </si>
  <si>
    <t xml:space="preserve">Home shows live verified listings only</t>
  </si>
  <si>
    <t xml:space="preserve">1. Open Home.</t>
  </si>
  <si>
    <t xml:space="preserve">Rental showcase uses verified live listings; no sample cards.</t>
  </si>
  <si>
    <t xml:space="preserve">P2 navigation change.</t>
  </si>
  <si>
    <t xml:space="preserve">TC-BOOK-001</t>
  </si>
  <si>
    <t xml:space="preserve">Request free dates</t>
  </si>
  <si>
    <t xml:space="preserve">Renter signed in</t>
  </si>
  <si>
    <t xml:space="preserve">1. Open verified listing. 2. Request free dates.</t>
  </si>
  <si>
    <t xml:space="preserve">No Confirmed booking on Jan 5–8</t>
  </si>
  <si>
    <t xml:space="preserve">Booking Pending; owner sees request.</t>
  </si>
  <si>
    <t xml:space="preserve">TC-BOOK-002</t>
  </si>
  <si>
    <t xml:space="preserve">FR-006</t>
  </si>
  <si>
    <t xml:space="preserve">Overlap with Confirmed booking rejected</t>
  </si>
  <si>
    <t xml:space="preserve">Confirmed Dec 10–15</t>
  </si>
  <si>
    <t xml:space="preserve">1. Request Dec 12–18.</t>
  </si>
  <si>
    <t xml:space="preserve">Seeded Confirmed booking</t>
  </si>
  <si>
    <t xml:space="preserve">'Dates unavailable'; no document created.</t>
  </si>
  <si>
    <t xml:space="preserve">TC-BOOK-003</t>
  </si>
  <si>
    <t xml:space="preserve">First confirmation wins</t>
  </si>
  <si>
    <t xml:space="preserve">Two Pending same dates</t>
  </si>
  <si>
    <t xml:space="preserve">1. Owner confirms first. 2. Owner confirms second.</t>
  </si>
  <si>
    <t xml:space="preserve">Two renters</t>
  </si>
  <si>
    <t xml:space="preserve">Second confirmation rejected by confirm-time check.</t>
  </si>
  <si>
    <t xml:space="preserve">TC-BOOK-004</t>
  </si>
  <si>
    <t xml:space="preserve">Forbidden status 'Cancelled' by direct write</t>
  </si>
  <si>
    <t xml:space="preserve">Pending booking</t>
  </si>
  <si>
    <t xml:space="preserve">1. Direct write status='Cancelled'.</t>
  </si>
  <si>
    <t xml:space="preserve">Denied; only 4 statuses allowed.</t>
  </si>
  <si>
    <t xml:space="preserve">TC-BOOK-005</t>
  </si>
  <si>
    <t xml:space="preserve">Decline pending request</t>
  </si>
  <si>
    <t xml:space="preserve">1. Owner declines.</t>
  </si>
  <si>
    <t xml:space="preserve">Request removed; no forbidden status written.</t>
  </si>
  <si>
    <t xml:space="preserve">TC-BOOK-006</t>
  </si>
  <si>
    <t xml:space="preserve">Log deposit reference</t>
  </si>
  <si>
    <t xml:space="preserve">Confirmed booking</t>
  </si>
  <si>
    <t xml:space="preserve">1. Renter enters GCash ref. 2. Save.</t>
  </si>
  <si>
    <t xml:space="preserve">GC-TEST-0001</t>
  </si>
  <si>
    <t xml:space="preserve">Stored and visible to both; unavailable on Pending.</t>
  </si>
  <si>
    <t xml:space="preserve">TC-BOOK-007</t>
  </si>
  <si>
    <t xml:space="preserve">Renter marks booking completed (updated)</t>
  </si>
  <si>
    <t xml:space="preserve">1. Renter clicks Mark completed.</t>
  </si>
  <si>
    <t xml:space="preserve">Completed once; rating prompt appears; dispute eligibility preserved.</t>
  </si>
  <si>
    <t xml:space="preserve">Was 'renter or owner'; owner button removed (P1).</t>
  </si>
  <si>
    <t xml:space="preserve">TC-BOOK-008</t>
  </si>
  <si>
    <t xml:space="preserve">Owner has no Mark completed action</t>
  </si>
  <si>
    <t xml:space="preserve">Owner with Confirmed booking</t>
  </si>
  <si>
    <t xml:space="preserve">1. Open Booking Requests as owner.</t>
  </si>
  <si>
    <t xml:space="preserve">No Mark completed button on owner side.</t>
  </si>
  <si>
    <t xml:space="preserve">P1 duplicate completion.</t>
  </si>
  <si>
    <t xml:space="preserve">TC-BOOK-009</t>
  </si>
  <si>
    <t xml:space="preserve">Adjacent date ranges (boundary)</t>
  </si>
  <si>
    <t xml:space="preserve">1. Request Dec 15–18. 2. Request Dec 5–10.</t>
  </si>
  <si>
    <t xml:space="preserve">Seeded Confirmed</t>
  </si>
  <si>
    <t xml:space="preserve">Allowed (start &lt; end &amp;&amp; end &gt; start rule; touching edges do not overlap).</t>
  </si>
  <si>
    <t xml:space="preserve">Confirm team's intended inclusive/exclusive rule.</t>
  </si>
  <si>
    <t xml:space="preserve">TC-BOOK-010</t>
  </si>
  <si>
    <t xml:space="preserve">Range fully containing a Confirmed booking</t>
  </si>
  <si>
    <t xml:space="preserve">1. Request Dec 1–31.</t>
  </si>
  <si>
    <t xml:space="preserve">Rejected.</t>
  </si>
  <si>
    <t xml:space="preserve">TC-BOOK-011</t>
  </si>
  <si>
    <t xml:space="preserve">Pending requests do not block each other</t>
  </si>
  <si>
    <t xml:space="preserve">Existing Pending Dec 10–15</t>
  </si>
  <si>
    <t xml:space="preserve">1. Second renter requests Dec 10–15.</t>
  </si>
  <si>
    <t xml:space="preserve">Second request created as Pending.</t>
  </si>
  <si>
    <t xml:space="preserve">Build Plan §4.</t>
  </si>
  <si>
    <t xml:space="preserve">TC-BOOK-012</t>
  </si>
  <si>
    <t xml:space="preserve">Invalid dates</t>
  </si>
  <si>
    <t xml:space="preserve">Renter</t>
  </si>
  <si>
    <t xml:space="preserve">1. End before start. 2. Start in the past. 3. No dates.</t>
  </si>
  <si>
    <t xml:space="preserve">Blocked; Request button disabled with reason when no dates.</t>
  </si>
  <si>
    <t xml:space="preserve">TC-BOOK-013</t>
  </si>
  <si>
    <t xml:space="preserve">Owner cannot book own listing</t>
  </si>
  <si>
    <t xml:space="preserve">Owner signed in</t>
  </si>
  <si>
    <t xml:space="preserve">1. Request booking on own listing.</t>
  </si>
  <si>
    <t xml:space="preserve">Own listing</t>
  </si>
  <si>
    <t xml:space="preserve">Blocked (UI + rules).</t>
  </si>
  <si>
    <t xml:space="preserve">Confirm intended behavior.</t>
  </si>
  <si>
    <t xml:space="preserve">TC-BOOK-014</t>
  </si>
  <si>
    <t xml:space="preserve">Booking a non-verified listing</t>
  </si>
  <si>
    <t xml:space="preserve">1. Direct create booking on pending listing.</t>
  </si>
  <si>
    <t xml:space="preserve">Denied.</t>
  </si>
  <si>
    <t xml:space="preserve">TC-BOOK-015</t>
  </si>
  <si>
    <t xml:space="preserve">Deposit reference on Pending / empty / by owner</t>
  </si>
  <si>
    <t xml:space="preserve">Pending &amp; Confirmed bookings</t>
  </si>
  <si>
    <t xml:space="preserve">1. Try on Pending. 2. Save empty. 3. Owner writes depositReference directly.</t>
  </si>
  <si>
    <t xml:space="preserve">All rejected.</t>
  </si>
  <si>
    <t xml:space="preserve">TC-BOOK-016</t>
  </si>
  <si>
    <t xml:space="preserve">Completing a Pending booking</t>
  </si>
  <si>
    <t xml:space="preserve">1. Direct write status='Completed'.</t>
  </si>
  <si>
    <t xml:space="preserve">TC-BOOK-017</t>
  </si>
  <si>
    <t xml:space="preserve">Request outside showing windows</t>
  </si>
  <si>
    <t xml:space="preserve">Listing with Sat 9–12 window</t>
  </si>
  <si>
    <t xml:space="preserve">1. Request Monday 15:00.</t>
  </si>
  <si>
    <t xml:space="preserve">Seeded windows</t>
  </si>
  <si>
    <t xml:space="preserve">Blocked or warned per spec.</t>
  </si>
  <si>
    <t xml:space="preserve">Confirm expected behavior.</t>
  </si>
  <si>
    <t xml:space="preserve">TC-BOOK-018</t>
  </si>
  <si>
    <t xml:space="preserve">FR-013</t>
  </si>
  <si>
    <t xml:space="preserve">Booking still succeeds if notification write fails</t>
  </si>
  <si>
    <t xml:space="preserve">Reliability</t>
  </si>
  <si>
    <t xml:space="preserve">1. Force notification write failure. 2. Submit request.</t>
  </si>
  <si>
    <t xml:space="preserve">Test build / rules</t>
  </si>
  <si>
    <t xml:space="preserve">Booking created; failure logged, not shown as booking failure.</t>
  </si>
  <si>
    <t xml:space="preserve">Best-effort notifications.</t>
  </si>
  <si>
    <t xml:space="preserve">TC-JOB-001</t>
  </si>
  <si>
    <t xml:space="preserve">Ratings &amp; Completion</t>
  </si>
  <si>
    <t xml:space="preserve">Expired Confirmed booking auto-completes</t>
  </si>
  <si>
    <t xml:space="preserve">Expired Confirmed booking</t>
  </si>
  <si>
    <t xml:space="preserve">1. Run workflow. 2. Check booking.</t>
  </si>
  <si>
    <t xml:space="preserve">Seeded</t>
  </si>
  <si>
    <t xml:space="preserve">Status Completed.</t>
  </si>
  <si>
    <t xml:space="preserve">Re-run in release QA.</t>
  </si>
  <si>
    <t xml:space="preserve">TC-JOB-002</t>
  </si>
  <si>
    <t xml:space="preserve">Non-expired or non-Confirmed untouched</t>
  </si>
  <si>
    <t xml:space="preserve">Mixed bookings</t>
  </si>
  <si>
    <t xml:space="preserve">1. Run job.</t>
  </si>
  <si>
    <t xml:space="preserve">Future Confirmed, expired Pending, Disputed</t>
  </si>
  <si>
    <t xml:space="preserve">None changed.</t>
  </si>
  <si>
    <t xml:space="preserve">TC-JOB-003</t>
  </si>
  <si>
    <t xml:space="preserve">Job cadence acceptable</t>
  </si>
  <si>
    <t xml:space="preserve">Workflow schedule</t>
  </si>
  <si>
    <t xml:space="preserve">1. Check scrape.yml cron.</t>
  </si>
  <si>
    <t xml:space="preserve">Cadence documented; weekly delay accepted or shortened.</t>
  </si>
  <si>
    <t xml:space="preserve">P1 finding.</t>
  </si>
  <si>
    <t xml:space="preserve">TC-RATE-001</t>
  </si>
  <si>
    <t xml:space="preserve">Rate a completed booking</t>
  </si>
  <si>
    <t xml:space="preserve">Completed booking</t>
  </si>
  <si>
    <t xml:space="preserve">1. Submit 1–5 + comment.</t>
  </si>
  <si>
    <t xml:space="preserve">Rating saved; shown on listing reviews.</t>
  </si>
  <si>
    <t xml:space="preserve">TC-RATE-002</t>
  </si>
  <si>
    <t xml:space="preserve">Rating on Pending booking by direct write</t>
  </si>
  <si>
    <t xml:space="preserve">1. Direct write rating.</t>
  </si>
  <si>
    <t xml:space="preserve">TC-RATE-003</t>
  </si>
  <si>
    <t xml:space="preserve">Score outside 1–5</t>
  </si>
  <si>
    <t xml:space="preserve">1. Submit 0 or 6.</t>
  </si>
  <si>
    <t xml:space="preserve">0, 6</t>
  </si>
  <si>
    <t xml:space="preserve">TC-RATE-004</t>
  </si>
  <si>
    <t xml:space="preserve">Duplicate rating by same rater</t>
  </si>
  <si>
    <t xml:space="preserve">Already rated</t>
  </si>
  <si>
    <t xml:space="preserve">1. Rate again.</t>
  </si>
  <si>
    <t xml:space="preserve">Blocked.</t>
  </si>
  <si>
    <t xml:space="preserve">Max 2 ratings per booking.</t>
  </si>
  <si>
    <t xml:space="preserve">TC-RATE-005</t>
  </si>
  <si>
    <t xml:space="preserve">Non-participant rates booking</t>
  </si>
  <si>
    <t xml:space="preserve">1. As unrelated user, direct write rating.</t>
  </si>
  <si>
    <t xml:space="preserve">TC-DISP-001</t>
  </si>
  <si>
    <t xml:space="preserve">Raise a dispute (updated)</t>
  </si>
  <si>
    <t xml:space="preserve">1. Renter opens booking. 2. Raise Dispute with reason.</t>
  </si>
  <si>
    <t xml:space="preserve">Dispute Open in admin queue; booking -&gt; Disputed; prior status + dispute link stored; admins notified.</t>
  </si>
  <si>
    <t xml:space="preserve">Booking state now changes on submit (P1 dispute).</t>
  </si>
  <si>
    <t xml:space="preserve">TC-DISP-002</t>
  </si>
  <si>
    <t xml:space="preserve">Founded dispute</t>
  </si>
  <si>
    <t xml:space="preserve">Open dispute</t>
  </si>
  <si>
    <t xml:space="preserve">1. Admin marks Founded with notes.</t>
  </si>
  <si>
    <t xml:space="preserve">Owner account + listing suspended; booking stays Disputed; public flag shows; reporter notified.</t>
  </si>
  <si>
    <t xml:space="preserve">Re-run after P1 change.</t>
  </si>
  <si>
    <t xml:space="preserve">TC-DISP-003</t>
  </si>
  <si>
    <t xml:space="preserve">Dismissed dispute restores prior status (updated)</t>
  </si>
  <si>
    <t xml:space="preserve">Open dispute on Confirmed booking</t>
  </si>
  <si>
    <t xml:space="preserve">1. Admin marks Dismissed.</t>
  </si>
  <si>
    <t xml:space="preserve">No suspension/flag; booking restored to Confirmed; reporter notified.</t>
  </si>
  <si>
    <t xml:space="preserve">Restore behavior added in P1.</t>
  </si>
  <si>
    <t xml:space="preserve">TC-DISP-004</t>
  </si>
  <si>
    <t xml:space="preserve">Duplicate open dispute blocked</t>
  </si>
  <si>
    <t xml:space="preserve">Open dispute exists</t>
  </si>
  <si>
    <t xml:space="preserve">1. Raise another dispute on same booking.</t>
  </si>
  <si>
    <t xml:space="preserve">TC-DISP-005</t>
  </si>
  <si>
    <t xml:space="preserve">Dispute on Pending booking</t>
  </si>
  <si>
    <t xml:space="preserve">1. Try Raise Dispute.</t>
  </si>
  <si>
    <t xml:space="preserve">Not allowed.</t>
  </si>
  <si>
    <t xml:space="preserve">TC-DISP-006</t>
  </si>
  <si>
    <t xml:space="preserve">Empty dispute reason</t>
  </si>
  <si>
    <t xml:space="preserve">1. Submit blank reason.</t>
  </si>
  <si>
    <t xml:space="preserve">Inline error.</t>
  </si>
  <si>
    <t xml:space="preserve">TC-DISP-007</t>
  </si>
  <si>
    <t xml:space="preserve">Audit trail completeness</t>
  </si>
  <si>
    <t xml:space="preserve">Resolved dispute</t>
  </si>
  <si>
    <t xml:space="preserve">1. Inspect dispute record.</t>
  </si>
  <si>
    <t xml:space="preserve">Has bookingId, raisedBy, reason, decision, notes, resolver, createdAt, resolvedAt.</t>
  </si>
  <si>
    <t xml:space="preserve">P1 acceptance.</t>
  </si>
  <si>
    <t xml:space="preserve">TC-DISP-008</t>
  </si>
  <si>
    <t xml:space="preserve">Suspended owner's listings hidden</t>
  </si>
  <si>
    <t xml:space="preserve">1. Browse as guest.</t>
  </si>
  <si>
    <t xml:space="preserve">Suspended owner</t>
  </si>
  <si>
    <t xml:space="preserve">Suspended listing no longer in search.</t>
  </si>
  <si>
    <t xml:space="preserve">TC-DISP-009</t>
  </si>
  <si>
    <t xml:space="preserve">Dispute on Completed booking within window</t>
  </si>
  <si>
    <t xml:space="preserve">1. Raise dispute.</t>
  </si>
  <si>
    <t xml:space="preserve">Allowed/blocked per agreed time window.</t>
  </si>
  <si>
    <t xml:space="preserve">Policy pending approval (Release QA #3).</t>
  </si>
  <si>
    <t xml:space="preserve">TC-PROF-001</t>
  </si>
  <si>
    <t xml:space="preserve">Flagged owner profile</t>
  </si>
  <si>
    <t xml:space="preserve">Owner with 1 Founded</t>
  </si>
  <si>
    <t xml:space="preserve">1. Open public profile.</t>
  </si>
  <si>
    <t xml:space="preserve">Shows trust score, rating, '1 founded dispute' warning.</t>
  </si>
  <si>
    <t xml:space="preserve">TC-PROF-002</t>
  </si>
  <si>
    <t xml:space="preserve">Dismissed disputes don't flag</t>
  </si>
  <si>
    <t xml:space="preserve">Owner with only Dismissed</t>
  </si>
  <si>
    <t xml:space="preserve">1. Open profile.</t>
  </si>
  <si>
    <t xml:space="preserve">No warning shown.</t>
  </si>
  <si>
    <t xml:space="preserve">TC-TRUST-001</t>
  </si>
  <si>
    <t xml:space="preserve">Score formula matches hand calculation</t>
  </si>
  <si>
    <t xml:space="preserve">Unit</t>
  </si>
  <si>
    <t xml:space="preserve">Seed data</t>
  </si>
  <si>
    <t xml:space="preserve">1. Run score functions. 2. Compare with manual calc.</t>
  </si>
  <si>
    <t xml:space="preserve">Sub-scores and total match.</t>
  </si>
  <si>
    <t xml:space="preserve">TC-TRUST-002</t>
  </si>
  <si>
    <t xml:space="preserve">Only Completed bookings count</t>
  </si>
  <si>
    <t xml:space="preserve">Seed listing</t>
  </si>
  <si>
    <t xml:space="preserve">1. Add Pending + Completed. 2. Recompute.</t>
  </si>
  <si>
    <t xml:space="preserve">Only Completed affects booking score.</t>
  </si>
  <si>
    <t xml:space="preserve">TC-TRUST-003</t>
  </si>
  <si>
    <t xml:space="preserve">Recency weighting</t>
  </si>
  <si>
    <t xml:space="preserve">Completed bookings 2 and 8 months ago</t>
  </si>
  <si>
    <t xml:space="preserve">1. Compute booking score.</t>
  </si>
  <si>
    <t xml:space="preserve">1.0 + 0.5 = 1.5.</t>
  </si>
  <si>
    <t xml:space="preserve">Build Plan §5.</t>
  </si>
  <si>
    <t xml:space="preserve">TC-TRUST-004</t>
  </si>
  <si>
    <t xml:space="preserve">No ratings - no NaN</t>
  </si>
  <si>
    <t xml:space="preserve">Listing without ratings</t>
  </si>
  <si>
    <t xml:space="preserve">1. Recompute.</t>
  </si>
  <si>
    <t xml:space="preserve">Rating score 0/default; total is a valid number.</t>
  </si>
  <si>
    <t xml:space="preserve">TC-TRUST-005</t>
  </si>
  <si>
    <t xml:space="preserve">Trust score display with cue</t>
  </si>
  <si>
    <t xml:space="preserve">1. Open listing detail.</t>
  </si>
  <si>
    <t xml:space="preserve">Numeric score + plain-language cue shown.</t>
  </si>
  <si>
    <t xml:space="preserve">Design Guide B5.</t>
  </si>
  <si>
    <t xml:space="preserve">TC-FAIR-001</t>
  </si>
  <si>
    <t xml:space="preserve">Above/At/Below market labels</t>
  </si>
  <si>
    <t xml:space="preserve">Unit/Integration</t>
  </si>
  <si>
    <t xml:space="preserve">Comparables seeded</t>
  </si>
  <si>
    <t xml:space="preserve">1. Recompute for listings at +20%, 0%, -20% vs median.</t>
  </si>
  <si>
    <t xml:space="preserve">Above market / At market / Below market.</t>
  </si>
  <si>
    <t xml:space="preserve">TC-FAIR-002</t>
  </si>
  <si>
    <t xml:space="preserve">Insufficient data</t>
  </si>
  <si>
    <t xml:space="preserve">No comparables</t>
  </si>
  <si>
    <t xml:space="preserve">Isolated listing</t>
  </si>
  <si>
    <t xml:space="preserve">'Insufficient data'.</t>
  </si>
  <si>
    <t xml:space="preserve">TC-FAIR-003</t>
  </si>
  <si>
    <t xml:space="preserve">Self-booking pattern flagged</t>
  </si>
  <si>
    <t xml:space="preserve">3 completed in 30 days, same pair</t>
  </si>
  <si>
    <t xml:space="preserve">1. Run workflow.</t>
  </si>
  <si>
    <t xml:space="preserve">Synthetic</t>
  </si>
  <si>
    <t xml:space="preserve">manualReviewRequired=true; selfBookingPatternCount=3.</t>
  </si>
  <si>
    <t xml:space="preserve">TC-FAIR-004</t>
  </si>
  <si>
    <t xml:space="preserve">±15% threshold boundaries</t>
  </si>
  <si>
    <t xml:space="preserve">Comparables</t>
  </si>
  <si>
    <t xml:space="preserve">1. Compute at +15%, +15.1%, -15%, -15.1%.</t>
  </si>
  <si>
    <t xml:space="preserve">±15% = At market; beyond = Above/Below.</t>
  </si>
  <si>
    <t xml:space="preserve">TC-FAIR-005</t>
  </si>
  <si>
    <t xml:space="preserve">20% size band filter</t>
  </si>
  <si>
    <t xml:space="preserve">Comparables of varied size</t>
  </si>
  <si>
    <t xml:space="preserve">1. Include 25% larger listing.</t>
  </si>
  <si>
    <t xml:space="preserve">Excluded from median.</t>
  </si>
  <si>
    <t xml:space="preserve">TC-FAIR-006</t>
  </si>
  <si>
    <t xml:space="preserve">No flag below threshold</t>
  </si>
  <si>
    <t xml:space="preserve">2 bookings in 30 days, or 3 over 45 days</t>
  </si>
  <si>
    <t xml:space="preserve">manualReviewRequired=false.</t>
  </si>
  <si>
    <t xml:space="preserve">TC-DASH-001</t>
  </si>
  <si>
    <t xml:space="preserve">Owner Dashboard &amp; My Listings</t>
  </si>
  <si>
    <t xml:space="preserve">Dashboard counts match Firestore</t>
  </si>
  <si>
    <t xml:space="preserve">Seeded owner</t>
  </si>
  <si>
    <t xml:space="preserve">1. Open My Dashboard at 390 px.</t>
  </si>
  <si>
    <t xml:space="preserve">Counts match.</t>
  </si>
  <si>
    <t xml:space="preserve">TC-DASH-002</t>
  </si>
  <si>
    <t xml:space="preserve">New user dashboard</t>
  </si>
  <si>
    <t xml:space="preserve">New account</t>
  </si>
  <si>
    <t xml:space="preserve">1. Open dashboard.</t>
  </si>
  <si>
    <t xml:space="preserve">Zeros/empty state with CTA.</t>
  </si>
  <si>
    <t xml:space="preserve">TC-MYL-001</t>
  </si>
  <si>
    <t xml:space="preserve">Listing cards show key details</t>
  </si>
  <si>
    <t xml:space="preserve">Owner with multiple listings</t>
  </si>
  <si>
    <t xml:space="preserve">1. Open My Listings.</t>
  </si>
  <si>
    <t xml:space="preserve">Mixed statuses</t>
  </si>
  <si>
    <t xml:space="preserve">Photo, city, type, bedrooms, price, status, review note, View/Edit on each card.</t>
  </si>
  <si>
    <t xml:space="preserve">TC-MYL-002</t>
  </si>
  <si>
    <t xml:space="preserve">Per-listing pending counts</t>
  </si>
  <si>
    <t xml:space="preserve">Listings with 0 and 2 pending</t>
  </si>
  <si>
    <t xml:space="preserve">Correct counts per listing.</t>
  </si>
  <si>
    <t xml:space="preserve">TC-MYL-003</t>
  </si>
  <si>
    <t xml:space="preserve">Count load failure is not zero</t>
  </si>
  <si>
    <t xml:space="preserve">Owner</t>
  </si>
  <si>
    <t xml:space="preserve">1. Block bookings query. 2. Open My Listings.</t>
  </si>
  <si>
    <t xml:space="preserve">DevTools</t>
  </si>
  <si>
    <t xml:space="preserve">'Unavailable' state, not 0.</t>
  </si>
  <si>
    <t xml:space="preserve">TC-MYL-004</t>
  </si>
  <si>
    <t xml:space="preserve">Request link filters by listing</t>
  </si>
  <si>
    <t xml:space="preserve">Listing with requests</t>
  </si>
  <si>
    <t xml:space="preserve">1. Tap request count. 2. Tap 'all requests'.</t>
  </si>
  <si>
    <t xml:space="preserve">Booking Requests tab filtered; back link shows all.</t>
  </si>
  <si>
    <t xml:space="preserve">TC-MYL-005</t>
  </si>
  <si>
    <t xml:space="preserve">Private data excluded</t>
  </si>
  <si>
    <t xml:space="preserve">1. Inspect My Listings.</t>
  </si>
  <si>
    <t xml:space="preserve">No exact address or document URLs on cards.</t>
  </si>
  <si>
    <t xml:space="preserve">TC-MYL-006</t>
  </si>
  <si>
    <t xml:space="preserve">Narrow viewport layout</t>
  </si>
  <si>
    <t xml:space="preserve">1. View at 360/390 px.</t>
  </si>
  <si>
    <t xml:space="preserve">Cards readable, no overflow.</t>
  </si>
  <si>
    <t xml:space="preserve">TC-NOTIF-001</t>
  </si>
  <si>
    <t xml:space="preserve">Owner notified of booking request</t>
  </si>
  <si>
    <t xml:space="preserve">Renter + owner</t>
  </si>
  <si>
    <t xml:space="preserve">1. Renter requests. 2. Owner opens bell. 3. Mark read.</t>
  </si>
  <si>
    <t xml:space="preserve">Unread notification; count clears.</t>
  </si>
  <si>
    <t xml:space="preserve">TC-NOTIF-002</t>
  </si>
  <si>
    <t xml:space="preserve">Renter notified of confirmation</t>
  </si>
  <si>
    <t xml:space="preserve">1. Owner confirms. 2. Renter checks bell.</t>
  </si>
  <si>
    <t xml:space="preserve">Confirmation notification received.</t>
  </si>
  <si>
    <t xml:space="preserve">TC-NOTIF-003</t>
  </si>
  <si>
    <t xml:space="preserve">Dispute notifications</t>
  </si>
  <si>
    <t xml:space="preserve">Renter + admin</t>
  </si>
  <si>
    <t xml:space="preserve">1. Raise dispute. 2. Admin resolves.</t>
  </si>
  <si>
    <t xml:space="preserve">Admins notified on submission; reporter on resolution; owner notified of listing decisions.</t>
  </si>
  <si>
    <t xml:space="preserve">TC-NOTIF-004</t>
  </si>
  <si>
    <t xml:space="preserve">Cross-user notification access</t>
  </si>
  <si>
    <t xml:space="preserve">1. As A read/create B's notifications.</t>
  </si>
  <si>
    <t xml:space="preserve">TC-NOTIF-005</t>
  </si>
  <si>
    <t xml:space="preserve">FR-020</t>
  </si>
  <si>
    <t xml:space="preserve">Admin feed contains disputes only</t>
  </si>
  <si>
    <t xml:space="preserve">Admin who also owns listings</t>
  </si>
  <si>
    <t xml:space="preserve">1. Create booking request on admin's listing and a dispute. 2. Open admin bell.</t>
  </si>
  <si>
    <t xml:space="preserve">Admin bell/inbox under /admin shows dispute only; booking request appears in admin's personal user feed.</t>
  </si>
  <si>
    <t xml:space="preserve">P0 notification split.</t>
  </si>
  <si>
    <t xml:space="preserve">TC-NOTIF-006</t>
  </si>
  <si>
    <t xml:space="preserve">No booking-request broadcast to __admins__</t>
  </si>
  <si>
    <t xml:space="preserve">1. Direct create notification to __admins__ with type booking-request.</t>
  </si>
  <si>
    <t xml:space="preserve">TC-NOTIF-007</t>
  </si>
  <si>
    <t xml:space="preserve">Regular user cannot read admin feed</t>
  </si>
  <si>
    <t xml:space="preserve">1. Query __admins__ notifications.</t>
  </si>
  <si>
    <t xml:space="preserve">TC-NOTIF-008</t>
  </si>
  <si>
    <t xml:space="preserve">Legacy admin booking notices hidden</t>
  </si>
  <si>
    <t xml:space="preserve">Old booking-request docs in __admins__</t>
  </si>
  <si>
    <t xml:space="preserve">1. Open admin inbox.</t>
  </si>
  <si>
    <t xml:space="preserve">Legacy data</t>
  </si>
  <si>
    <t xml:space="preserve">Filtered out; not readable after rules deploy.</t>
  </si>
  <si>
    <t xml:space="preserve">TC-NOTIF-009</t>
  </si>
  <si>
    <t xml:space="preserve">Admins cannot create broadcasts</t>
  </si>
  <si>
    <t xml:space="preserve">1. Direct create notification to __admins__.</t>
  </si>
  <si>
    <t xml:space="preserve">TC-NOTIF-010</t>
  </si>
  <si>
    <t xml:space="preserve">Mark all read / empty inbox</t>
  </si>
  <si>
    <t xml:space="preserve">1. Mark all read. 2. New user opens inbox.</t>
  </si>
  <si>
    <t xml:space="preserve">Count 0; empty state shown.</t>
  </si>
  <si>
    <t xml:space="preserve">TC-NOTIF-011</t>
  </si>
  <si>
    <t xml:space="preserve">Listing decision notification</t>
  </si>
  <si>
    <t xml:space="preserve">1. Admin approves/requests changes/rejects.</t>
  </si>
  <si>
    <t xml:space="preserve">Owner notified for each decision.</t>
  </si>
  <si>
    <t xml:space="preserve">TC-MAP-001</t>
  </si>
  <si>
    <t xml:space="preserve">Search address and place pin</t>
  </si>
  <si>
    <t xml:space="preserve">Create/Edit listing</t>
  </si>
  <si>
    <t xml:space="preserve">1. Type 'Santa Rosa, Laguna'. 2. Select result.</t>
  </si>
  <si>
    <t xml:space="preserve">PH address</t>
  </si>
  <si>
    <t xml:space="preserve">Pin placed; attribution shown.</t>
  </si>
  <si>
    <t xml:space="preserve">TC-MAP-002</t>
  </si>
  <si>
    <t xml:space="preserve">PH-specific geocoder retry</t>
  </si>
  <si>
    <t xml:space="preserve">1. Enter full street address without 'Philippines'.</t>
  </si>
  <si>
    <t xml:space="preserve">Full address</t>
  </si>
  <si>
    <t xml:space="preserve">Resolves via PH retry.</t>
  </si>
  <si>
    <t xml:space="preserve">TC-MAP-003</t>
  </si>
  <si>
    <t xml:space="preserve">'Use my exact address' shortcut renders</t>
  </si>
  <si>
    <t xml:space="preserve">Functional / Regression</t>
  </si>
  <si>
    <t xml:space="preserve">Private address prefilled</t>
  </si>
  <si>
    <t xml:space="preserve">1. Open edit listing with address. 2. Hard reload (clear cache). 3. Check map search box.</t>
  </si>
  <si>
    <t xml:space="preserve">Listing with address</t>
  </si>
  <si>
    <t xml:space="preserve">Button visible; clicking geocodes private address and places pin.</t>
  </si>
  <si>
    <t xml:space="preserve">Failed</t>
  </si>
  <si>
    <t xml:space="preserve">OPEN BUG: button not rendering in live browser (Release QA #11–12).</t>
  </si>
  <si>
    <t xml:space="preserve">TC-MAP-004</t>
  </si>
  <si>
    <t xml:space="preserve">Public doc stores only 5-char geohash</t>
  </si>
  <si>
    <t xml:space="preserve">Listing with pin</t>
  </si>
  <si>
    <t xml:space="preserve">1. Inspect public listing doc.</t>
  </si>
  <si>
    <t xml:space="preserve">Only geohash (5 chars) + approximate flag; no lat/long, no address.</t>
  </si>
  <si>
    <t xml:space="preserve">TC-MAP-005</t>
  </si>
  <si>
    <t xml:space="preserve">Invalid pin rejected</t>
  </si>
  <si>
    <t xml:space="preserve">1. Direct write lat/long or 7-char geohash to listing.</t>
  </si>
  <si>
    <t xml:space="preserve">Denied by rules.</t>
  </si>
  <si>
    <t xml:space="preserve">TC-MAP-006</t>
  </si>
  <si>
    <t xml:space="preserve">Legacy listing without pin</t>
  </si>
  <si>
    <t xml:space="preserve">Regression</t>
  </si>
  <si>
    <t xml:space="preserve">Old listing</t>
  </si>
  <si>
    <t xml:space="preserve">1. Open detail.</t>
  </si>
  <si>
    <t xml:space="preserve">Map section hidden; page works.</t>
  </si>
  <si>
    <t xml:space="preserve">TC-MAP-007</t>
  </si>
  <si>
    <t xml:space="preserve">listingPrivate access</t>
  </si>
  <si>
    <t xml:space="preserve">Listing</t>
  </si>
  <si>
    <t xml:space="preserve">1. As guest/other user read listingPrivate/{id}. 2. As owner/admin read.</t>
  </si>
  <si>
    <t xml:space="preserve">Others denied; owner/admin allowed.</t>
  </si>
  <si>
    <t xml:space="preserve">TC-MAP-008</t>
  </si>
  <si>
    <t xml:space="preserve">New listing cannot contain public address</t>
  </si>
  <si>
    <t xml:space="preserve">1. Direct create listing with address field.</t>
  </si>
  <si>
    <t xml:space="preserve">TC-MAP-009</t>
  </si>
  <si>
    <t xml:space="preserve">Exact address after confirmation</t>
  </si>
  <si>
    <t xml:space="preserve">1. Renter opens confirmed booking.</t>
  </si>
  <si>
    <t xml:space="preserve">Exact address shown.</t>
  </si>
  <si>
    <t xml:space="preserve">TC-MAP-010</t>
  </si>
  <si>
    <t xml:space="preserve">Exact address hidden before confirmation</t>
  </si>
  <si>
    <t xml:space="preserve">Pending booking / unrelated user</t>
  </si>
  <si>
    <t xml:space="preserve">1. Open booking / query address.</t>
  </si>
  <si>
    <t xml:space="preserve">Address not shown/denied.</t>
  </si>
  <si>
    <t xml:space="preserve">TC-MAP-011</t>
  </si>
  <si>
    <t xml:space="preserve">Migration dry run</t>
  </si>
  <si>
    <t xml:space="preserve">Backup taken</t>
  </si>
  <si>
    <t xml:space="preserve">1. Run migrate_listing_addresses.py.</t>
  </si>
  <si>
    <t xml:space="preserve">Live project</t>
  </si>
  <si>
    <t xml:space="preserve">Counts reported; no writes.</t>
  </si>
  <si>
    <t xml:space="preserve">TC-MAP-012</t>
  </si>
  <si>
    <t xml:space="preserve">Migration apply is idempotent</t>
  </si>
  <si>
    <t xml:space="preserve">Dry run reviewed</t>
  </si>
  <si>
    <t xml:space="preserve">1. Run --apply twice.</t>
  </si>
  <si>
    <t xml:space="preserve">Second run changes nothing; existing private addresses kept; conflicts reported.</t>
  </si>
  <si>
    <t xml:space="preserve">TC-NAV-001</t>
  </si>
  <si>
    <t xml:space="preserve">Account menu has no duplicates</t>
  </si>
  <si>
    <t xml:space="preserve">1. Open account menu.</t>
  </si>
  <si>
    <t xml:space="preserve">Single My Activity entry; no Saved Searches.</t>
  </si>
  <si>
    <t xml:space="preserve">TC-NAV-002</t>
  </si>
  <si>
    <t xml:space="preserve">My Activity tabs + URL</t>
  </si>
  <si>
    <t xml:space="preserve">1. Switch each tab. 2. Reload. 3. Copy URL to new tab.</t>
  </si>
  <si>
    <t xml:space="preserve">Tab state in URL and restored.</t>
  </si>
  <si>
    <t xml:space="preserve">TC-NAV-003</t>
  </si>
  <si>
    <t xml:space="preserve">Old direct routes still work</t>
  </si>
  <si>
    <t xml:space="preserve">1. Open previous My Bookings / Requests routes.</t>
  </si>
  <si>
    <t xml:space="preserve">Pages load.</t>
  </si>
  <si>
    <t xml:space="preserve">TC-NAV-004</t>
  </si>
  <si>
    <t xml:space="preserve">FR-017</t>
  </si>
  <si>
    <t xml:space="preserve">/saved-searches redirects</t>
  </si>
  <si>
    <t xml:space="preserve">Existing savedSearches docs</t>
  </si>
  <si>
    <t xml:space="preserve">1. Open /saved-searches.</t>
  </si>
  <si>
    <t xml:space="preserve">Redirect to Browse; records remain in Firestore.</t>
  </si>
  <si>
    <t xml:space="preserve">TC-SET-001</t>
  </si>
  <si>
    <t xml:space="preserve">System/Light/Dark appearance</t>
  </si>
  <si>
    <t xml:space="preserve">1. Select each mode. 2. Change OS theme in System mode.</t>
  </si>
  <si>
    <t xml:space="preserve">Theme applied; System follows OS.</t>
  </si>
  <si>
    <t xml:space="preserve">TC-SET-002</t>
  </si>
  <si>
    <t xml:space="preserve">Accessibility toggles persist</t>
  </si>
  <si>
    <t xml:space="preserve">1. Enable Larger text, High contrast, Reduce motion. 2. Reload.</t>
  </si>
  <si>
    <t xml:space="preserve">Preferences persist and apply.</t>
  </si>
  <si>
    <t xml:space="preserve">TC-SET-003</t>
  </si>
  <si>
    <t xml:space="preserve">Switch visibility in dark mode</t>
  </si>
  <si>
    <t xml:space="preserve">Dark mode</t>
  </si>
  <si>
    <t xml:space="preserve">1. Open Settings.</t>
  </si>
  <si>
    <t xml:space="preserve">Switch thumbs clearly visible; contrast &gt;= 3:1.</t>
  </si>
  <si>
    <t xml:space="preserve">TC-SAVE-001</t>
  </si>
  <si>
    <t xml:space="preserve">Save filters</t>
  </si>
  <si>
    <t xml:space="preserve">Retired</t>
  </si>
  <si>
    <t xml:space="preserve">Retired with Saved Searches removal.</t>
  </si>
  <si>
    <t xml:space="preserve">Replaced by TC-NAV-004.</t>
  </si>
  <si>
    <t xml:space="preserve">TC-SAVE-002</t>
  </si>
  <si>
    <t xml:space="preserve">Alert on new match</t>
  </si>
  <si>
    <t xml:space="preserve">Retired; never implemented.</t>
  </si>
  <si>
    <t xml:space="preserve">Remove FR-017 from active scope.</t>
  </si>
  <si>
    <t xml:space="preserve">TC-BANK-001</t>
  </si>
  <si>
    <t xml:space="preserve">Bank Catalog &amp; Loan</t>
  </si>
  <si>
    <t xml:space="preserve">Scraper upserts with lastSeen</t>
  </si>
  <si>
    <t xml:space="preserve">Live Metrobank</t>
  </si>
  <si>
    <t xml:space="preserve">1. Run scraper. 2. Open catalog.</t>
  </si>
  <si>
    <t xml:space="preserve">metrobank_&lt;ref&gt; docs with lastSeen; 'Last verified' shown.</t>
  </si>
  <si>
    <t xml:space="preserve">TC-BANK-002</t>
  </si>
  <si>
    <t xml:space="preserve">Missing records delisted</t>
  </si>
  <si>
    <t xml:space="preserve">Existing active record</t>
  </si>
  <si>
    <t xml:space="preserve">1. Run when record absent.</t>
  </si>
  <si>
    <t xml:space="preserve">status delisted; lastSeen updated.</t>
  </si>
  <si>
    <t xml:space="preserve">TC-BANK-003</t>
  </si>
  <si>
    <t xml:space="preserve">Client write to bankProperties</t>
  </si>
  <si>
    <t xml:space="preserve">Normal user</t>
  </si>
  <si>
    <t xml:space="preserve">1. Direct write.</t>
  </si>
  <si>
    <t xml:space="preserve">TC-BANK-004</t>
  </si>
  <si>
    <t xml:space="preserve">No duplicates on re-run</t>
  </si>
  <si>
    <t xml:space="preserve">1. Run scraper twice.</t>
  </si>
  <si>
    <t xml:space="preserve">Same doc count; deterministic IDs.</t>
  </si>
  <si>
    <t xml:space="preserve">TC-BANK-005</t>
  </si>
  <si>
    <t xml:space="preserve">Catalog filters</t>
  </si>
  <si>
    <t xml:space="preserve">Populated catalog</t>
  </si>
  <si>
    <t xml:space="preserve">1. Filter bank/city/price.</t>
  </si>
  <si>
    <t xml:space="preserve">Correct results; empty state.</t>
  </si>
  <si>
    <t xml:space="preserve">TC-BANK-006</t>
  </si>
  <si>
    <t xml:space="preserve">Image fallback</t>
  </si>
  <si>
    <t xml:space="preserve">Property without image</t>
  </si>
  <si>
    <t xml:space="preserve">1. Open catalog.</t>
  </si>
  <si>
    <t xml:space="preserve">Fallback image, no broken icon.</t>
  </si>
  <si>
    <t xml:space="preserve">TODO cleanup 2026-09-30.</t>
  </si>
  <si>
    <t xml:space="preserve">TC-BANK-007</t>
  </si>
  <si>
    <t xml:space="preserve">Admin scrape log view</t>
  </si>
  <si>
    <t xml:space="preserve">1. Open Bank Catalog Status.</t>
  </si>
  <si>
    <t xml:space="preserve">Last run shown; intended inset/padding.</t>
  </si>
  <si>
    <t xml:space="preserve">TC-LOAN-001</t>
  </si>
  <si>
    <t xml:space="preserve">Known amortization value</t>
  </si>
  <si>
    <t xml:space="preserve">1. 2,000,000; 20% down; 6%; 20 yrs.</t>
  </si>
  <si>
    <t xml:space="preserve">≈ PHP 11,462.90.</t>
  </si>
  <si>
    <t xml:space="preserve">TC-LOAN-002</t>
  </si>
  <si>
    <t xml:space="preserve">1. 0% rate, negative price, empty term.</t>
  </si>
  <si>
    <t xml:space="preserve">Validation; no NaN/Infinity.</t>
  </si>
  <si>
    <t xml:space="preserve">TC-LOAN-003</t>
  </si>
  <si>
    <t xml:space="preserve">Price pre-filled from property</t>
  </si>
  <si>
    <t xml:space="preserve">Bank property</t>
  </si>
  <si>
    <t xml:space="preserve">Price pre-filled.</t>
  </si>
  <si>
    <t xml:space="preserve">TC-LOAN-004</t>
  </si>
  <si>
    <t xml:space="preserve">0% interest computes P/n</t>
  </si>
  <si>
    <t xml:space="preserve">1. 1,200,000, 0% down, 0%, 10 yrs.</t>
  </si>
  <si>
    <t xml:space="preserve">PHP 10,000.00.</t>
  </si>
  <si>
    <t xml:space="preserve">TC-ADM-001</t>
  </si>
  <si>
    <t xml:space="preserve">Admin Access &amp; Management</t>
  </si>
  <si>
    <t xml:space="preserve">Suspend and reinstate</t>
  </si>
  <si>
    <t xml:space="preserve">1. Suspend user. 2. Reinstate.</t>
  </si>
  <si>
    <t xml:space="preserve">Test user</t>
  </si>
  <si>
    <t xml:space="preserve">Status toggles; suspended user blocked.</t>
  </si>
  <si>
    <t xml:space="preserve">TC-ADM-002</t>
  </si>
  <si>
    <t xml:space="preserve">Dashboard counts</t>
  </si>
  <si>
    <t xml:space="preserve">1. Open Admin Dashboard.</t>
  </si>
  <si>
    <t xml:space="preserve">Pending listings + open disputes match Firestore.</t>
  </si>
  <si>
    <t xml:space="preserve">TC-ADM-003</t>
  </si>
  <si>
    <t xml:space="preserve">Active admin accesses /admin</t>
  </si>
  <si>
    <t xml:space="preserve">Active admin</t>
  </si>
  <si>
    <t xml:space="preserve">1. Open /admin and nested routes directly.</t>
  </si>
  <si>
    <t xml:space="preserve">Loading status then admin UI renders.</t>
  </si>
  <si>
    <t xml:space="preserve">P0.</t>
  </si>
  <si>
    <t xml:space="preserve">TC-ADM-004</t>
  </si>
  <si>
    <t xml:space="preserve">Regular user blocked</t>
  </si>
  <si>
    <t xml:space="preserve">1. Open /admin/listings directly.</t>
  </si>
  <si>
    <t xml:space="preserve">Redirected; no admin content flash.</t>
  </si>
  <si>
    <t xml:space="preserve">TC-ADM-005</t>
  </si>
  <si>
    <t xml:space="preserve">Suspended admin blocked</t>
  </si>
  <si>
    <t xml:space="preserve">Admin with status suspended</t>
  </si>
  <si>
    <t xml:space="preserve">1. Open /admin.</t>
  </si>
  <si>
    <t xml:space="preserve">Suspended screen.</t>
  </si>
  <si>
    <t xml:space="preserve">TC-ADM-006</t>
  </si>
  <si>
    <t xml:space="preserve">Missing/unreadable profile fails closed</t>
  </si>
  <si>
    <t xml:space="preserve">Auth user without profile</t>
  </si>
  <si>
    <t xml:space="preserve">Retryable verification message; no admin UI.</t>
  </si>
  <si>
    <t xml:space="preserve">TC-ADM-007</t>
  </si>
  <si>
    <t xml:space="preserve">Non-admin Firestore admin reads</t>
  </si>
  <si>
    <t xml:space="preserve">1. Query pending listings / disputes directly.</t>
  </si>
  <si>
    <t xml:space="preserve">TC-ADM-008</t>
  </si>
  <si>
    <t xml:space="preserve">Admin guard unit tests</t>
  </si>
  <si>
    <t xml:space="preserve">1. Run node --test.</t>
  </si>
  <si>
    <t xml:space="preserve">5 access-state policy tests pass.</t>
  </si>
  <si>
    <t xml:space="preserve">Passed</t>
  </si>
  <si>
    <t xml:space="preserve">Included in 33 passing tests.</t>
  </si>
  <si>
    <t xml:space="preserve">TC-ADM-009</t>
  </si>
  <si>
    <t xml:space="preserve">Suspend requires confirmation</t>
  </si>
  <si>
    <t xml:space="preserve">1. Click Suspend.</t>
  </si>
  <si>
    <t xml:space="preserve">Danger-styled button + confirm step.</t>
  </si>
  <si>
    <t xml:space="preserve">TC-SEC-001</t>
  </si>
  <si>
    <t xml:space="preserve">Renter confirms another's booking</t>
  </si>
  <si>
    <t xml:space="preserve">Seeded booking</t>
  </si>
  <si>
    <t xml:space="preserve">1. Direct write status Confirmed.</t>
  </si>
  <si>
    <t xml:space="preserve">TC-SEC-002</t>
  </si>
  <si>
    <t xml:space="preserve">Owner confirms overlapping booking</t>
  </si>
  <si>
    <t xml:space="preserve">Seeded overlap</t>
  </si>
  <si>
    <t xml:space="preserve">Denied/rejected.</t>
  </si>
  <si>
    <t xml:space="preserve">TC-SEC-003</t>
  </si>
  <si>
    <t xml:space="preserve">Non-admin resolves dispute; non-owner reads docs</t>
  </si>
  <si>
    <t xml:space="preserve">1. Resolve as non-admin. 2. Read private fields.</t>
  </si>
  <si>
    <t xml:space="preserve">Both denied.</t>
  </si>
  <si>
    <t xml:space="preserve">BUG-006.</t>
  </si>
  <si>
    <t xml:space="preserve">TC-SEC-004</t>
  </si>
  <si>
    <t xml:space="preserve">Secret not printed in logs</t>
  </si>
  <si>
    <t xml:space="preserve">GitHub Actions</t>
  </si>
  <si>
    <t xml:space="preserve">1. Run workflow. 2. Inspect logs.</t>
  </si>
  <si>
    <t xml:space="preserve">Secret masked; data + trustScores updated.</t>
  </si>
  <si>
    <t xml:space="preserve">TC-SEC-005</t>
  </si>
  <si>
    <t xml:space="preserve">Unmatched collection deny-all</t>
  </si>
  <si>
    <t xml:space="preserve">1. Write to random collection.</t>
  </si>
  <si>
    <t xml:space="preserve">TC-SEC-006</t>
  </si>
  <si>
    <t xml:space="preserve">Client write to trustScores</t>
  </si>
  <si>
    <t xml:space="preserve">1. Direct write own listing score.</t>
  </si>
  <si>
    <t xml:space="preserve">TC-SEC-007</t>
  </si>
  <si>
    <t xml:space="preserve">Rules compile and deploy</t>
  </si>
  <si>
    <t xml:space="preserve">Deployment</t>
  </si>
  <si>
    <t xml:space="preserve">Critical</t>
  </si>
  <si>
    <t xml:space="preserve">Firebase CLI</t>
  </si>
  <si>
    <t xml:space="preserve">1. firebase deploy --only firestore:rules.</t>
  </si>
  <si>
    <t xml:space="preserve">Deploys without errors.</t>
  </si>
  <si>
    <t xml:space="preserve">Unblocks all Blocked cases.</t>
  </si>
  <si>
    <t xml:space="preserve">TC-HARD-001</t>
  </si>
  <si>
    <t xml:space="preserve">NFR-REL</t>
  </si>
  <si>
    <t xml:space="preserve">Release &amp; Non-functional</t>
  </si>
  <si>
    <t xml:space="preserve">Lazy route fallback</t>
  </si>
  <si>
    <t xml:space="preserve">Throttled</t>
  </si>
  <si>
    <t xml:space="preserve">1. Navigate on slow 3G.</t>
  </si>
  <si>
    <t xml:space="preserve">Accessible loading fallback.</t>
  </si>
  <si>
    <t xml:space="preserve">TC-HARD-002</t>
  </si>
  <si>
    <t xml:space="preserve">Error boundary</t>
  </si>
  <si>
    <t xml:space="preserve">Test build</t>
  </si>
  <si>
    <t xml:space="preserve">1. Trigger runtime error.</t>
  </si>
  <si>
    <t xml:space="preserve">Error screen with Reload.</t>
  </si>
  <si>
    <t xml:space="preserve">TC-HARD-003</t>
  </si>
  <si>
    <t xml:space="preserve">Admin retry after load error</t>
  </si>
  <si>
    <t xml:space="preserve">1. Block Firestore. 2. Open dashboard. 3. Retry.</t>
  </si>
  <si>
    <t xml:space="preserve">Error + Retry; loads after.</t>
  </si>
  <si>
    <t xml:space="preserve">BUG-001 regression.</t>
  </si>
  <si>
    <t xml:space="preserve">TC-AUTO-001</t>
  </si>
  <si>
    <t xml:space="preserve">All</t>
  </si>
  <si>
    <t xml:space="preserve">node --test</t>
  </si>
  <si>
    <t xml:space="preserve">dev</t>
  </si>
  <si>
    <t xml:space="preserve">Run node --test.</t>
  </si>
  <si>
    <t xml:space="preserve">All pass.</t>
  </si>
  <si>
    <t xml:space="preserve">Now 33/33 (was 21).</t>
  </si>
  <si>
    <t xml:space="preserve">TC-AUTO-002</t>
  </si>
  <si>
    <t xml:space="preserve">npm run lint</t>
  </si>
  <si>
    <t xml:space="preserve">Static</t>
  </si>
  <si>
    <t xml:space="preserve">Run lint.</t>
  </si>
  <si>
    <t xml:space="preserve">No errors.</t>
  </si>
  <si>
    <t xml:space="preserve">TC-AUTO-003</t>
  </si>
  <si>
    <t xml:space="preserve">npm run build</t>
  </si>
  <si>
    <t xml:space="preserve">Build</t>
  </si>
  <si>
    <t xml:space="preserve">Run build.</t>
  </si>
  <si>
    <t xml:space="preserve">Succeeds; no large-bundle warning.</t>
  </si>
  <si>
    <t xml:space="preserve">Vendor chunk split resolved BUG-007.</t>
  </si>
  <si>
    <t xml:space="preserve">TC-AUTO-004</t>
  </si>
  <si>
    <t xml:space="preserve">Python unittest</t>
  </si>
  <si>
    <t xml:space="preserve">bank_scraper</t>
  </si>
  <si>
    <t xml:space="preserve">Run unittest discover.</t>
  </si>
  <si>
    <t xml:space="preserve">Now 14/14 (was 9).</t>
  </si>
  <si>
    <t xml:space="preserve">TC-AUTO-005</t>
  </si>
  <si>
    <t xml:space="preserve">Seed demo data</t>
  </si>
  <si>
    <t xml:space="preserve">Dry run then seed.</t>
  </si>
  <si>
    <t xml:space="preserve">Synthetic data created; no real IDs/Auth users.</t>
  </si>
  <si>
    <t xml:space="preserve">Re-run in smoke test.</t>
  </si>
  <si>
    <t xml:space="preserve">TC-UI-001</t>
  </si>
  <si>
    <t xml:space="preserve">NFR-USE</t>
  </si>
  <si>
    <t xml:space="preserve">Cross-browser &amp; viewport walkthrough</t>
  </si>
  <si>
    <t xml:space="preserve">UAT</t>
  </si>
  <si>
    <t xml:space="preserve">Deployed build</t>
  </si>
  <si>
    <t xml:space="preserve">User pages at 390 px, admin at 1280 px in Chrome, Edge, Firefox, mobile.</t>
  </si>
  <si>
    <t xml:space="preserve">Layouts intact; 44 px targets; focus visible; labeled statuses.</t>
  </si>
  <si>
    <t xml:space="preserve">TC-UI-002</t>
  </si>
  <si>
    <t xml:space="preserve">Accessibility checks</t>
  </si>
  <si>
    <t xml:space="preserve">1. Keyboard-only navigation. 2. Contrast audit (Lighthouse/axe). 3. Photo alt text.</t>
  </si>
  <si>
    <t xml:space="preserve">WCAG AA contrast; status never color-only; alt text present.</t>
  </si>
  <si>
    <t xml:space="preserve">Design Guide B7.</t>
  </si>
  <si>
    <t xml:space="preserve">TC-UI-003</t>
  </si>
  <si>
    <t xml:space="preserve">Button states and padding</t>
  </si>
  <si>
    <t xml:space="preserve">1. Hover/press/disable buttons.</t>
  </si>
  <si>
    <t xml:space="preserve">States visible; consistent horizontal padding.</t>
  </si>
  <si>
    <t xml:space="preserve">Cleanup 2026-09-30.</t>
  </si>
  <si>
    <t xml:space="preserve">TC-E2E-001</t>
  </si>
  <si>
    <t xml:space="preserve">End-to-end renter–owner–admin smoke test</t>
  </si>
  <si>
    <t xml:space="preserve">E2E</t>
  </si>
  <si>
    <t xml:space="preserve">Deployed build + rules</t>
  </si>
  <si>
    <t xml:space="preserve">1. Owner lists. 2. Admin approves. 3. Renter books. 4. Owner confirms. 5. Renter logs deposit, views address. 6. Renter completes + rates. 7. Workflow recomputes. 8. Second booking disputed + resolved.</t>
  </si>
  <si>
    <t xml:space="preserve">Test accounts</t>
  </si>
  <si>
    <t xml:space="preserve">Every step succeeds; correct notifications; statuses consistent.</t>
  </si>
  <si>
    <t xml:space="preserve">Progress report smoke walkthrough.</t>
  </si>
  <si>
    <t xml:space="preserve">Test Cases by Module and Status</t>
  </si>
  <si>
    <t xml:space="preserve">Total</t>
  </si>
  <si>
    <t xml:space="preserve">Executed</t>
  </si>
  <si>
    <t xml:space="preserve">Pass Rate</t>
  </si>
  <si>
    <t xml:space="preserve">TOTAL</t>
  </si>
  <si>
    <t xml:space="preserve">By Origin</t>
  </si>
  <si>
    <t xml:space="preserve">Use cases</t>
  </si>
  <si>
    <t xml:space="preserve">Pass Rate = (Passed + Passed (Dev)) / Executed; Executed = Passed + Passed (Dev) + Failed.</t>
  </si>
  <si>
    <t xml:space="preserve">Requirement</t>
  </si>
  <si>
    <t xml:space="preserve">Acceptance / Linked Tests</t>
  </si>
  <si>
    <t xml:space="preserve">FR-002 (revise)</t>
  </si>
  <si>
    <t xml:space="preserve">The system shall require a non-empty description of at most 400 words; 150 words is shown as a recommendation.</t>
  </si>
  <si>
    <t xml:space="preserve">HIGH</t>
  </si>
  <si>
    <t xml:space="preserve">Progress Report P1 Description</t>
  </si>
  <si>
    <t xml:space="preserve">Empty/whitespace rejected; &lt;150 words accepted; &gt;400 rejected.</t>
  </si>
  <si>
    <t xml:space="preserve">FR-008 (revise)</t>
  </si>
  <si>
    <t xml:space="preserve">Only the renter manually marks a booking Completed; the scheduled job completes expired Confirmed bookings.</t>
  </si>
  <si>
    <t xml:space="preserve">MEDIUM</t>
  </si>
  <si>
    <t xml:space="preserve">Progress Report P1 Completion</t>
  </si>
  <si>
    <t xml:space="preserve">Owner has no completion button; one Completed transition.</t>
  </si>
  <si>
    <t xml:space="preserve">FR-009 (revise)</t>
  </si>
  <si>
    <t xml:space="preserve">Submitting a dispute sets the booking to Disputed and records its prior status; Dismissed restores it; Founded keeps Disputed.</t>
  </si>
  <si>
    <t xml:space="preserve">Progress Report P1 Dispute</t>
  </si>
  <si>
    <t xml:space="preserve">Booking and dispute states stay consistent; duplicate open disputes blocked.</t>
  </si>
  <si>
    <t xml:space="preserve">FR-017 (retire)</t>
  </si>
  <si>
    <t xml:space="preserve">Saved Searches removed; /saved-searches redirects to Browse without deleting records.</t>
  </si>
  <si>
    <t xml:space="preserve">LOW</t>
  </si>
  <si>
    <t xml:space="preserve">Cleanup 2026-09-30</t>
  </si>
  <si>
    <t xml:space="preserve">Redirect works; data preserved.</t>
  </si>
  <si>
    <t xml:space="preserve">Only profiles with role admin and status active can render admin routes; missing/unreadable profiles fail closed with retry.</t>
  </si>
  <si>
    <t xml:space="preserve">TC-ADM-003 to 008.</t>
  </si>
  <si>
    <t xml:space="preserve">Admin notifications are limited to disputes; booking requests notify only the listing owner; feeds are isolated by rules.</t>
  </si>
  <si>
    <t xml:space="preserve">Progress Report P0 Notifications</t>
  </si>
  <si>
    <t xml:space="preserve">TC-NOTIF-005 to 009.</t>
  </si>
  <si>
    <t xml:space="preserve">One My Activity page (Listings, Bookings, Requests tabs) and Settings with System/Light/Dark plus persisted accessibility preferences.</t>
  </si>
  <si>
    <t xml:space="preserve">TC-NAV-001 to 004, TC-SET-001 to 003.</t>
  </si>
  <si>
    <t xml:space="preserve">Optional approximate map pin stored as a 5-char geohash; exact address kept in listingPrivate readable by owner/admin only.</t>
  </si>
  <si>
    <t xml:space="preserve">TC-MAP-001 to 008, 011, 012.</t>
  </si>
  <si>
    <t xml:space="preserve">My Listings shows photo, city, type, bedrooms, price, status, review note and per-listing pending-request counts.</t>
  </si>
  <si>
    <t xml:space="preserve">TC-MYL-001 to 006.</t>
  </si>
  <si>
    <t xml:space="preserve">The renter sees the exact property address only after the booking is Confirmed.</t>
  </si>
  <si>
    <t xml:space="preserve">TC-MAP-009, 010.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</si>
</sst>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FEF9C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E40A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E5E7EB"/>
        </patternFill>
      </fill>
    </dxf>
    <dxf>
      <fill>
        <patternFill>
          <bgColor rgb="FFBBF7D0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CACA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BBF7D0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55"/>
    <col collapsed="false" customWidth="true" hidden="false" outlineLevel="0" max="8" min="8" style="0" width="50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customFormat="false" ht="64.15" hidden="false" customHeight="false" outlineLevel="0" collapsed="false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</row>
    <row r="3" customFormat="false" ht="43.25" hidden="false" customHeight="false" outlineLevel="0" collapsed="false">
      <c r="A3" s="5" t="s">
        <v>45</v>
      </c>
      <c r="B3" s="6" t="s">
        <v>46</v>
      </c>
      <c r="C3" s="6" t="s">
        <v>36</v>
      </c>
      <c r="D3" s="6" t="s">
        <v>47</v>
      </c>
      <c r="E3" s="6" t="s">
        <v>38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44</v>
      </c>
    </row>
    <row r="4" customFormat="false" ht="43.25" hidden="false" customHeight="false" outlineLevel="0" collapsed="false">
      <c r="A4" s="5" t="s">
        <v>53</v>
      </c>
      <c r="B4" s="6" t="s">
        <v>54</v>
      </c>
      <c r="C4" s="6" t="s">
        <v>36</v>
      </c>
      <c r="D4" s="6" t="s">
        <v>55</v>
      </c>
      <c r="E4" s="6" t="s">
        <v>38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44</v>
      </c>
    </row>
    <row r="5" customFormat="false" ht="32.8" hidden="false" customHeight="false" outlineLevel="0" collapsed="false">
      <c r="A5" s="5" t="s">
        <v>61</v>
      </c>
      <c r="B5" s="6" t="s">
        <v>62</v>
      </c>
      <c r="C5" s="6" t="s">
        <v>36</v>
      </c>
      <c r="D5" s="6" t="s">
        <v>47</v>
      </c>
      <c r="E5" s="6" t="s">
        <v>38</v>
      </c>
      <c r="F5" s="6" t="s">
        <v>63</v>
      </c>
      <c r="G5" s="6" t="s">
        <v>64</v>
      </c>
      <c r="H5" s="6" t="s">
        <v>65</v>
      </c>
      <c r="I5" s="6" t="s">
        <v>66</v>
      </c>
      <c r="J5" s="6" t="s">
        <v>67</v>
      </c>
      <c r="K5" s="6" t="s">
        <v>44</v>
      </c>
    </row>
    <row r="6" customFormat="false" ht="32.8" hidden="false" customHeight="false" outlineLevel="0" collapsed="false">
      <c r="A6" s="5" t="s">
        <v>68</v>
      </c>
      <c r="B6" s="6" t="s">
        <v>69</v>
      </c>
      <c r="C6" s="6" t="s">
        <v>70</v>
      </c>
      <c r="D6" s="6" t="s">
        <v>71</v>
      </c>
      <c r="E6" s="6" t="s">
        <v>38</v>
      </c>
      <c r="F6" s="6" t="s">
        <v>72</v>
      </c>
      <c r="G6" s="6" t="s">
        <v>73</v>
      </c>
      <c r="H6" s="6" t="s">
        <v>74</v>
      </c>
      <c r="I6" s="6" t="s">
        <v>75</v>
      </c>
      <c r="J6" s="6" t="s">
        <v>76</v>
      </c>
      <c r="K6" s="6" t="s">
        <v>44</v>
      </c>
    </row>
    <row r="7" customFormat="false" ht="85.05" hidden="false" customHeight="false" outlineLevel="0" collapsed="false">
      <c r="A7" s="5" t="s">
        <v>77</v>
      </c>
      <c r="B7" s="6" t="s">
        <v>78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84</v>
      </c>
      <c r="I7" s="6" t="s">
        <v>85</v>
      </c>
      <c r="J7" s="6" t="s">
        <v>86</v>
      </c>
      <c r="K7" s="6" t="s">
        <v>87</v>
      </c>
    </row>
    <row r="8" customFormat="false" ht="43.25" hidden="false" customHeight="false" outlineLevel="0" collapsed="false">
      <c r="A8" s="5" t="s">
        <v>88</v>
      </c>
      <c r="B8" s="6" t="s">
        <v>89</v>
      </c>
      <c r="C8" s="6" t="s">
        <v>79</v>
      </c>
      <c r="D8" s="6" t="s">
        <v>80</v>
      </c>
      <c r="E8" s="6" t="s">
        <v>81</v>
      </c>
      <c r="F8" s="6" t="s">
        <v>90</v>
      </c>
      <c r="G8" s="6" t="s">
        <v>91</v>
      </c>
      <c r="H8" s="6" t="s">
        <v>92</v>
      </c>
      <c r="I8" s="6" t="s">
        <v>93</v>
      </c>
      <c r="J8" s="6" t="s">
        <v>94</v>
      </c>
      <c r="K8" s="6" t="s">
        <v>95</v>
      </c>
    </row>
    <row r="9" customFormat="false" ht="53.7" hidden="false" customHeight="false" outlineLevel="0" collapsed="false">
      <c r="A9" s="5" t="s">
        <v>96</v>
      </c>
      <c r="B9" s="6" t="s">
        <v>97</v>
      </c>
      <c r="C9" s="6" t="s">
        <v>98</v>
      </c>
      <c r="D9" s="6" t="s">
        <v>80</v>
      </c>
      <c r="E9" s="6" t="s">
        <v>99</v>
      </c>
      <c r="F9" s="6" t="s">
        <v>100</v>
      </c>
      <c r="G9" s="6" t="s">
        <v>101</v>
      </c>
      <c r="H9" s="6" t="s">
        <v>102</v>
      </c>
      <c r="I9" s="6" t="s">
        <v>103</v>
      </c>
      <c r="J9" s="6" t="s">
        <v>104</v>
      </c>
      <c r="K9" s="6" t="s">
        <v>105</v>
      </c>
    </row>
    <row r="10" customFormat="false" ht="53.7" hidden="false" customHeight="false" outlineLevel="0" collapsed="false">
      <c r="A10" s="5" t="s">
        <v>106</v>
      </c>
      <c r="B10" s="6" t="s">
        <v>107</v>
      </c>
      <c r="C10" s="6" t="s">
        <v>108</v>
      </c>
      <c r="D10" s="6" t="s">
        <v>80</v>
      </c>
      <c r="E10" s="6" t="s">
        <v>109</v>
      </c>
      <c r="F10" s="6" t="s">
        <v>110</v>
      </c>
      <c r="G10" s="6" t="s">
        <v>111</v>
      </c>
      <c r="H10" s="6" t="s">
        <v>112</v>
      </c>
      <c r="I10" s="6" t="s">
        <v>113</v>
      </c>
      <c r="J10" s="6" t="s">
        <v>114</v>
      </c>
      <c r="K10" s="6" t="s">
        <v>105</v>
      </c>
    </row>
    <row r="11" customFormat="false" ht="64.15" hidden="false" customHeight="false" outlineLevel="0" collapsed="false">
      <c r="A11" s="5" t="s">
        <v>115</v>
      </c>
      <c r="B11" s="6" t="s">
        <v>116</v>
      </c>
      <c r="C11" s="6" t="s">
        <v>117</v>
      </c>
      <c r="D11" s="6" t="s">
        <v>118</v>
      </c>
      <c r="E11" s="6" t="s">
        <v>119</v>
      </c>
      <c r="F11" s="6" t="s">
        <v>120</v>
      </c>
      <c r="G11" s="6" t="s">
        <v>121</v>
      </c>
      <c r="H11" s="6" t="s">
        <v>122</v>
      </c>
      <c r="I11" s="6" t="s">
        <v>123</v>
      </c>
      <c r="J11" s="6" t="s">
        <v>124</v>
      </c>
      <c r="K11" s="6" t="s">
        <v>87</v>
      </c>
    </row>
    <row r="12" customFormat="false" ht="43.25" hidden="false" customHeight="false" outlineLevel="0" collapsed="false">
      <c r="A12" s="5" t="s">
        <v>125</v>
      </c>
      <c r="B12" s="6" t="s">
        <v>126</v>
      </c>
      <c r="C12" s="6" t="s">
        <v>127</v>
      </c>
      <c r="D12" s="6" t="s">
        <v>55</v>
      </c>
      <c r="E12" s="6" t="s">
        <v>128</v>
      </c>
      <c r="F12" s="6" t="s">
        <v>129</v>
      </c>
      <c r="G12" s="6" t="s">
        <v>130</v>
      </c>
      <c r="H12" s="6" t="s">
        <v>131</v>
      </c>
      <c r="I12" s="6" t="s">
        <v>132</v>
      </c>
      <c r="J12" s="6" t="s">
        <v>133</v>
      </c>
      <c r="K12" s="6" t="s">
        <v>44</v>
      </c>
    </row>
    <row r="13" customFormat="false" ht="43.25" hidden="false" customHeight="false" outlineLevel="0" collapsed="false">
      <c r="A13" s="5" t="s">
        <v>134</v>
      </c>
      <c r="B13" s="6" t="s">
        <v>135</v>
      </c>
      <c r="C13" s="6" t="s">
        <v>127</v>
      </c>
      <c r="D13" s="6" t="s">
        <v>55</v>
      </c>
      <c r="E13" s="6" t="s">
        <v>136</v>
      </c>
      <c r="F13" s="6" t="s">
        <v>137</v>
      </c>
      <c r="G13" s="6" t="s">
        <v>138</v>
      </c>
      <c r="H13" s="6" t="s">
        <v>139</v>
      </c>
      <c r="I13" s="6" t="s">
        <v>140</v>
      </c>
      <c r="J13" s="6" t="s">
        <v>141</v>
      </c>
      <c r="K13" s="6" t="s">
        <v>142</v>
      </c>
    </row>
    <row r="14" customFormat="false" ht="32.8" hidden="false" customHeight="false" outlineLevel="0" collapsed="false">
      <c r="A14" s="5" t="s">
        <v>143</v>
      </c>
      <c r="B14" s="6" t="s">
        <v>144</v>
      </c>
      <c r="C14" s="6" t="s">
        <v>145</v>
      </c>
      <c r="D14" s="6" t="s">
        <v>55</v>
      </c>
      <c r="E14" s="6" t="s">
        <v>146</v>
      </c>
      <c r="F14" s="6" t="s">
        <v>147</v>
      </c>
      <c r="G14" s="6" t="s">
        <v>148</v>
      </c>
      <c r="H14" s="6" t="s">
        <v>149</v>
      </c>
      <c r="I14" s="6" t="s">
        <v>150</v>
      </c>
      <c r="J14" s="6" t="s">
        <v>151</v>
      </c>
      <c r="K14" s="6" t="s">
        <v>152</v>
      </c>
    </row>
    <row r="15" customFormat="false" ht="53.7" hidden="false" customHeight="false" outlineLevel="0" collapsed="false">
      <c r="A15" s="5" t="s">
        <v>153</v>
      </c>
      <c r="B15" s="6" t="s">
        <v>154</v>
      </c>
      <c r="C15" s="6" t="s">
        <v>155</v>
      </c>
      <c r="D15" s="6" t="s">
        <v>156</v>
      </c>
      <c r="E15" s="6" t="s">
        <v>157</v>
      </c>
      <c r="F15" s="6" t="s">
        <v>158</v>
      </c>
      <c r="G15" s="6" t="s">
        <v>159</v>
      </c>
      <c r="H15" s="6" t="s">
        <v>160</v>
      </c>
      <c r="I15" s="6" t="s">
        <v>161</v>
      </c>
      <c r="J15" s="6" t="s">
        <v>162</v>
      </c>
      <c r="K15" s="6" t="s">
        <v>163</v>
      </c>
    </row>
    <row r="16" customFormat="false" ht="53.7" hidden="false" customHeight="false" outlineLevel="0" collapsed="false">
      <c r="A16" s="5" t="s">
        <v>164</v>
      </c>
      <c r="B16" s="6" t="s">
        <v>165</v>
      </c>
      <c r="C16" s="6" t="s">
        <v>155</v>
      </c>
      <c r="D16" s="6" t="s">
        <v>80</v>
      </c>
      <c r="E16" s="6" t="s">
        <v>157</v>
      </c>
      <c r="F16" s="6" t="s">
        <v>166</v>
      </c>
      <c r="G16" s="6" t="s">
        <v>167</v>
      </c>
      <c r="H16" s="6" t="s">
        <v>168</v>
      </c>
      <c r="I16" s="6" t="s">
        <v>169</v>
      </c>
      <c r="J16" s="6" t="s">
        <v>170</v>
      </c>
      <c r="K16" s="6" t="s">
        <v>163</v>
      </c>
    </row>
    <row r="17" customFormat="false" ht="32.8" hidden="false" customHeight="false" outlineLevel="0" collapsed="false">
      <c r="A17" s="5" t="s">
        <v>171</v>
      </c>
      <c r="B17" s="6" t="s">
        <v>172</v>
      </c>
      <c r="C17" s="6" t="s">
        <v>155</v>
      </c>
      <c r="D17" s="6" t="s">
        <v>80</v>
      </c>
      <c r="E17" s="6" t="s">
        <v>173</v>
      </c>
      <c r="F17" s="6" t="s">
        <v>166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</row>
    <row r="18" customFormat="false" ht="32.8" hidden="false" customHeight="false" outlineLevel="0" collapsed="false">
      <c r="A18" s="5" t="s">
        <v>179</v>
      </c>
      <c r="B18" s="6" t="s">
        <v>180</v>
      </c>
      <c r="C18" s="6" t="s">
        <v>181</v>
      </c>
      <c r="D18" s="6" t="s">
        <v>156</v>
      </c>
      <c r="E18" s="6" t="s">
        <v>182</v>
      </c>
      <c r="F18" s="6" t="s">
        <v>183</v>
      </c>
      <c r="G18" s="6" t="s">
        <v>184</v>
      </c>
      <c r="H18" s="6" t="s">
        <v>185</v>
      </c>
      <c r="I18" s="6" t="s">
        <v>186</v>
      </c>
      <c r="J18" s="6" t="s">
        <v>187</v>
      </c>
      <c r="K18" s="6" t="s">
        <v>178</v>
      </c>
    </row>
    <row r="19" customFormat="false" ht="32.8" hidden="false" customHeight="false" outlineLevel="0" collapsed="false">
      <c r="A19" s="5" t="s">
        <v>188</v>
      </c>
      <c r="B19" s="6" t="s">
        <v>189</v>
      </c>
      <c r="C19" s="6" t="s">
        <v>190</v>
      </c>
      <c r="D19" s="6" t="s">
        <v>156</v>
      </c>
      <c r="E19" s="6" t="s">
        <v>191</v>
      </c>
      <c r="F19" s="6" t="s">
        <v>192</v>
      </c>
      <c r="G19" s="6" t="s">
        <v>193</v>
      </c>
      <c r="H19" s="6" t="s">
        <v>194</v>
      </c>
      <c r="I19" s="6" t="s">
        <v>195</v>
      </c>
      <c r="J19" s="6" t="s">
        <v>196</v>
      </c>
      <c r="K19" s="6" t="s">
        <v>197</v>
      </c>
    </row>
    <row r="20" customFormat="false" ht="32.8" hidden="false" customHeight="false" outlineLevel="0" collapsed="false">
      <c r="A20" s="5" t="s">
        <v>198</v>
      </c>
      <c r="B20" s="6" t="s">
        <v>199</v>
      </c>
      <c r="C20" s="6" t="s">
        <v>200</v>
      </c>
      <c r="D20" s="6" t="s">
        <v>201</v>
      </c>
      <c r="E20" s="6" t="s">
        <v>191</v>
      </c>
      <c r="F20" s="6" t="s">
        <v>202</v>
      </c>
      <c r="G20" s="6" t="s">
        <v>203</v>
      </c>
      <c r="H20" s="6" t="s">
        <v>204</v>
      </c>
      <c r="I20" s="6" t="s">
        <v>205</v>
      </c>
      <c r="J20" s="6" t="s">
        <v>206</v>
      </c>
      <c r="K20" s="6" t="s">
        <v>163</v>
      </c>
    </row>
    <row r="21" customFormat="false" ht="22.35" hidden="false" customHeight="false" outlineLevel="0" collapsed="false">
      <c r="A21" s="5" t="s">
        <v>207</v>
      </c>
      <c r="B21" s="6" t="s">
        <v>208</v>
      </c>
      <c r="C21" s="6" t="s">
        <v>98</v>
      </c>
      <c r="D21" s="6" t="s">
        <v>156</v>
      </c>
      <c r="E21" s="6" t="s">
        <v>209</v>
      </c>
      <c r="F21" s="6" t="s">
        <v>210</v>
      </c>
      <c r="G21" s="6" t="s">
        <v>211</v>
      </c>
      <c r="H21" s="6" t="s">
        <v>212</v>
      </c>
      <c r="I21" s="6" t="s">
        <v>213</v>
      </c>
      <c r="J21" s="6" t="s">
        <v>214</v>
      </c>
      <c r="K21" s="6" t="s">
        <v>105</v>
      </c>
    </row>
    <row r="22" customFormat="false" ht="32.8" hidden="false" customHeight="false" outlineLevel="0" collapsed="false">
      <c r="A22" s="5" t="s">
        <v>215</v>
      </c>
      <c r="B22" s="6" t="s">
        <v>216</v>
      </c>
      <c r="C22" s="6" t="s">
        <v>217</v>
      </c>
      <c r="D22" s="6" t="s">
        <v>71</v>
      </c>
      <c r="E22" s="6" t="s">
        <v>218</v>
      </c>
      <c r="F22" s="6" t="s">
        <v>72</v>
      </c>
      <c r="G22" s="6" t="s">
        <v>219</v>
      </c>
      <c r="H22" s="6" t="s">
        <v>220</v>
      </c>
      <c r="I22" s="6" t="s">
        <v>221</v>
      </c>
      <c r="J22" s="6" t="s">
        <v>222</v>
      </c>
      <c r="K22" s="6" t="s">
        <v>105</v>
      </c>
    </row>
    <row r="23" customFormat="false" ht="32.8" hidden="false" customHeight="false" outlineLevel="0" collapsed="false">
      <c r="A23" s="5" t="s">
        <v>223</v>
      </c>
      <c r="B23" s="6" t="s">
        <v>224</v>
      </c>
      <c r="C23" s="6" t="s">
        <v>225</v>
      </c>
      <c r="D23" s="6" t="s">
        <v>226</v>
      </c>
      <c r="E23" s="6" t="s">
        <v>191</v>
      </c>
      <c r="F23" s="6" t="s">
        <v>227</v>
      </c>
      <c r="G23" s="6" t="s">
        <v>228</v>
      </c>
      <c r="H23" s="6" t="s">
        <v>229</v>
      </c>
      <c r="I23" s="6" t="s">
        <v>230</v>
      </c>
      <c r="J23" s="6" t="s">
        <v>231</v>
      </c>
      <c r="K23" s="6" t="s">
        <v>163</v>
      </c>
    </row>
    <row r="24" customFormat="false" ht="53.7" hidden="false" customHeight="false" outlineLevel="0" collapsed="false">
      <c r="A24" s="5" t="s">
        <v>232</v>
      </c>
      <c r="B24" s="6" t="s">
        <v>233</v>
      </c>
      <c r="C24" s="6" t="s">
        <v>234</v>
      </c>
      <c r="D24" s="6" t="s">
        <v>156</v>
      </c>
      <c r="E24" s="6" t="s">
        <v>235</v>
      </c>
      <c r="F24" s="6" t="s">
        <v>236</v>
      </c>
      <c r="G24" s="6" t="s">
        <v>237</v>
      </c>
      <c r="H24" s="6" t="s">
        <v>238</v>
      </c>
      <c r="I24" s="6" t="s">
        <v>239</v>
      </c>
      <c r="J24" s="6" t="s">
        <v>240</v>
      </c>
      <c r="K24" s="6" t="s">
        <v>241</v>
      </c>
    </row>
    <row r="25" customFormat="false" ht="43.25" hidden="false" customHeight="false" outlineLevel="0" collapsed="false">
      <c r="A25" s="5" t="s">
        <v>242</v>
      </c>
      <c r="B25" s="6" t="s">
        <v>243</v>
      </c>
      <c r="C25" s="6" t="s">
        <v>234</v>
      </c>
      <c r="D25" s="6" t="s">
        <v>118</v>
      </c>
      <c r="E25" s="6" t="s">
        <v>235</v>
      </c>
      <c r="F25" s="6" t="s">
        <v>244</v>
      </c>
      <c r="G25" s="6" t="s">
        <v>245</v>
      </c>
      <c r="H25" s="6" t="s">
        <v>246</v>
      </c>
      <c r="I25" s="6" t="s">
        <v>247</v>
      </c>
      <c r="J25" s="6" t="s">
        <v>248</v>
      </c>
      <c r="K25" s="6" t="s">
        <v>241</v>
      </c>
    </row>
    <row r="26" customFormat="false" ht="43.25" hidden="false" customHeight="false" outlineLevel="0" collapsed="false">
      <c r="A26" s="5" t="s">
        <v>249</v>
      </c>
      <c r="B26" s="6" t="s">
        <v>250</v>
      </c>
      <c r="C26" s="6" t="s">
        <v>251</v>
      </c>
      <c r="D26" s="6" t="s">
        <v>201</v>
      </c>
      <c r="E26" s="6" t="s">
        <v>252</v>
      </c>
      <c r="F26" s="6" t="s">
        <v>253</v>
      </c>
      <c r="G26" s="6" t="s">
        <v>254</v>
      </c>
      <c r="H26" s="6" t="s">
        <v>255</v>
      </c>
      <c r="I26" s="6" t="s">
        <v>256</v>
      </c>
      <c r="J26" s="6" t="s">
        <v>257</v>
      </c>
      <c r="K26" s="6" t="s">
        <v>258</v>
      </c>
    </row>
    <row r="27" customFormat="false" ht="43.25" hidden="false" customHeight="false" outlineLevel="0" collapsed="false">
      <c r="A27" s="5" t="s">
        <v>259</v>
      </c>
      <c r="B27" s="6" t="s">
        <v>260</v>
      </c>
      <c r="C27" s="6" t="s">
        <v>261</v>
      </c>
      <c r="D27" s="6" t="s">
        <v>262</v>
      </c>
      <c r="E27" s="6" t="s">
        <v>263</v>
      </c>
      <c r="F27" s="6" t="s">
        <v>264</v>
      </c>
      <c r="G27" s="6" t="s">
        <v>265</v>
      </c>
      <c r="H27" s="6" t="s">
        <v>266</v>
      </c>
      <c r="I27" s="6" t="s">
        <v>267</v>
      </c>
      <c r="J27" s="6" t="s">
        <v>268</v>
      </c>
      <c r="K27" s="6" t="s">
        <v>269</v>
      </c>
    </row>
    <row r="28" customFormat="false" ht="32.8" hidden="false" customHeight="false" outlineLevel="0" collapsed="false">
      <c r="A28" s="5" t="s">
        <v>270</v>
      </c>
      <c r="B28" s="6" t="s">
        <v>271</v>
      </c>
      <c r="C28" s="6" t="s">
        <v>272</v>
      </c>
      <c r="D28" s="6" t="s">
        <v>80</v>
      </c>
      <c r="E28" s="6" t="s">
        <v>273</v>
      </c>
      <c r="F28" s="6" t="s">
        <v>72</v>
      </c>
      <c r="G28" s="6" t="s">
        <v>274</v>
      </c>
      <c r="H28" s="6" t="s">
        <v>275</v>
      </c>
      <c r="I28" s="6" t="s">
        <v>276</v>
      </c>
      <c r="J28" s="6" t="s">
        <v>277</v>
      </c>
      <c r="K28" s="6" t="s">
        <v>269</v>
      </c>
    </row>
    <row r="29" customFormat="false" ht="32.8" hidden="false" customHeight="false" outlineLevel="0" collapsed="false">
      <c r="A29" s="5" t="s">
        <v>278</v>
      </c>
      <c r="B29" s="6" t="s">
        <v>279</v>
      </c>
      <c r="C29" s="6" t="s">
        <v>280</v>
      </c>
      <c r="D29" s="6" t="s">
        <v>71</v>
      </c>
      <c r="E29" s="6" t="s">
        <v>281</v>
      </c>
      <c r="F29" s="6" t="s">
        <v>72</v>
      </c>
      <c r="G29" s="6" t="s">
        <v>282</v>
      </c>
      <c r="H29" s="6" t="s">
        <v>283</v>
      </c>
      <c r="I29" s="6" t="s">
        <v>284</v>
      </c>
      <c r="J29" s="6" t="s">
        <v>285</v>
      </c>
      <c r="K29" s="6" t="s">
        <v>269</v>
      </c>
    </row>
    <row r="30" customFormat="false" ht="22.35" hidden="false" customHeight="false" outlineLevel="0" collapsed="false">
      <c r="A30" s="5" t="s">
        <v>286</v>
      </c>
      <c r="B30" s="6" t="s">
        <v>287</v>
      </c>
      <c r="C30" s="6" t="s">
        <v>280</v>
      </c>
      <c r="D30" s="6" t="s">
        <v>118</v>
      </c>
      <c r="E30" s="6" t="s">
        <v>281</v>
      </c>
      <c r="F30" s="6" t="s">
        <v>288</v>
      </c>
      <c r="G30" s="6" t="s">
        <v>289</v>
      </c>
      <c r="H30" s="6" t="s">
        <v>290</v>
      </c>
      <c r="I30" s="6" t="s">
        <v>291</v>
      </c>
      <c r="J30" s="6" t="s">
        <v>292</v>
      </c>
      <c r="K30" s="6" t="s">
        <v>105</v>
      </c>
    </row>
    <row r="31" customFormat="false" ht="53.7" hidden="false" customHeight="false" outlineLevel="0" collapsed="false">
      <c r="A31" s="5" t="s">
        <v>293</v>
      </c>
      <c r="B31" s="6" t="s">
        <v>294</v>
      </c>
      <c r="C31" s="6" t="s">
        <v>295</v>
      </c>
      <c r="D31" s="6" t="s">
        <v>201</v>
      </c>
      <c r="E31" s="6" t="s">
        <v>296</v>
      </c>
      <c r="F31" s="6" t="s">
        <v>297</v>
      </c>
      <c r="G31" s="6" t="s">
        <v>298</v>
      </c>
      <c r="H31" s="6" t="s">
        <v>299</v>
      </c>
      <c r="I31" s="6" t="s">
        <v>300</v>
      </c>
      <c r="J31" s="6" t="s">
        <v>301</v>
      </c>
      <c r="K31" s="6" t="s">
        <v>44</v>
      </c>
    </row>
    <row r="32" customFormat="false" ht="32.8" hidden="false" customHeight="false" outlineLevel="0" collapsed="false">
      <c r="A32" s="5" t="s">
        <v>302</v>
      </c>
      <c r="B32" s="6" t="s">
        <v>303</v>
      </c>
      <c r="C32" s="6" t="s">
        <v>295</v>
      </c>
      <c r="D32" s="6" t="s">
        <v>55</v>
      </c>
      <c r="E32" s="6" t="s">
        <v>296</v>
      </c>
      <c r="F32" s="6" t="s">
        <v>304</v>
      </c>
      <c r="G32" s="6" t="s">
        <v>305</v>
      </c>
      <c r="H32" s="6" t="s">
        <v>306</v>
      </c>
      <c r="I32" s="6" t="s">
        <v>307</v>
      </c>
      <c r="J32" s="6" t="s">
        <v>308</v>
      </c>
      <c r="K32" s="6" t="s">
        <v>44</v>
      </c>
    </row>
    <row r="33" customFormat="false" ht="32.8" hidden="false" customHeight="false" outlineLevel="0" collapsed="false">
      <c r="A33" s="5" t="s">
        <v>309</v>
      </c>
      <c r="B33" s="6" t="s">
        <v>310</v>
      </c>
      <c r="C33" s="6" t="s">
        <v>311</v>
      </c>
      <c r="D33" s="6" t="s">
        <v>55</v>
      </c>
      <c r="E33" s="6" t="s">
        <v>312</v>
      </c>
      <c r="F33" s="6" t="s">
        <v>313</v>
      </c>
      <c r="G33" s="6" t="s">
        <v>314</v>
      </c>
      <c r="H33" s="6" t="s">
        <v>315</v>
      </c>
      <c r="I33" s="6" t="s">
        <v>316</v>
      </c>
      <c r="J33" s="6" t="s">
        <v>317</v>
      </c>
      <c r="K33" s="6" t="s">
        <v>152</v>
      </c>
    </row>
    <row r="34" customFormat="false" ht="32.8" hidden="false" customHeight="false" outlineLevel="0" collapsed="false">
      <c r="A34" s="5" t="s">
        <v>318</v>
      </c>
      <c r="B34" s="6" t="s">
        <v>319</v>
      </c>
      <c r="C34" s="6" t="s">
        <v>320</v>
      </c>
      <c r="D34" s="6" t="s">
        <v>118</v>
      </c>
      <c r="E34" s="6" t="s">
        <v>321</v>
      </c>
      <c r="F34" s="6" t="s">
        <v>288</v>
      </c>
      <c r="G34" s="6" t="s">
        <v>322</v>
      </c>
      <c r="H34" s="6" t="s">
        <v>323</v>
      </c>
      <c r="I34" s="6" t="s">
        <v>324</v>
      </c>
      <c r="J34" s="6" t="s">
        <v>325</v>
      </c>
      <c r="K34" s="6" t="s">
        <v>44</v>
      </c>
    </row>
    <row r="35" customFormat="false" ht="53.7" hidden="false" customHeight="false" outlineLevel="0" collapsed="false">
      <c r="A35" s="5" t="s">
        <v>326</v>
      </c>
      <c r="B35" s="6" t="s">
        <v>327</v>
      </c>
      <c r="C35" s="6" t="s">
        <v>328</v>
      </c>
      <c r="D35" s="6" t="s">
        <v>118</v>
      </c>
      <c r="E35" s="6" t="s">
        <v>329</v>
      </c>
      <c r="F35" s="6" t="s">
        <v>48</v>
      </c>
      <c r="G35" s="6" t="s">
        <v>330</v>
      </c>
      <c r="H35" s="6" t="s">
        <v>331</v>
      </c>
      <c r="I35" s="6" t="s">
        <v>332</v>
      </c>
      <c r="J35" s="6" t="s">
        <v>333</v>
      </c>
      <c r="K35" s="6" t="s">
        <v>105</v>
      </c>
    </row>
    <row r="36" customFormat="false" ht="22.35" hidden="false" customHeight="false" outlineLevel="0" collapsed="false">
      <c r="A36" s="5" t="s">
        <v>334</v>
      </c>
      <c r="B36" s="6" t="s">
        <v>335</v>
      </c>
      <c r="C36" s="6" t="s">
        <v>336</v>
      </c>
      <c r="D36" s="6" t="s">
        <v>118</v>
      </c>
      <c r="E36" s="6" t="s">
        <v>337</v>
      </c>
      <c r="F36" s="6" t="s">
        <v>288</v>
      </c>
      <c r="G36" s="6" t="s">
        <v>338</v>
      </c>
      <c r="H36" s="6" t="s">
        <v>339</v>
      </c>
      <c r="I36" s="6" t="s">
        <v>276</v>
      </c>
      <c r="J36" s="6" t="s">
        <v>340</v>
      </c>
      <c r="K36" s="6" t="s">
        <v>341</v>
      </c>
    </row>
    <row r="37" customFormat="false" ht="32.8" hidden="false" customHeight="false" outlineLevel="0" collapsed="false">
      <c r="A37" s="5" t="s">
        <v>342</v>
      </c>
      <c r="B37" s="6" t="s">
        <v>343</v>
      </c>
      <c r="C37" s="6" t="s">
        <v>344</v>
      </c>
      <c r="D37" s="6" t="s">
        <v>118</v>
      </c>
      <c r="E37" s="6" t="s">
        <v>337</v>
      </c>
      <c r="F37" s="6" t="s">
        <v>288</v>
      </c>
      <c r="G37" s="6" t="s">
        <v>345</v>
      </c>
      <c r="H37" s="6" t="s">
        <v>346</v>
      </c>
      <c r="I37" s="6" t="s">
        <v>347</v>
      </c>
      <c r="J37" s="6" t="s">
        <v>348</v>
      </c>
      <c r="K37" s="6" t="s">
        <v>163</v>
      </c>
    </row>
    <row r="38" customFormat="false" ht="43.25" hidden="false" customHeight="false" outlineLevel="0" collapsed="false">
      <c r="A38" s="5" t="s">
        <v>349</v>
      </c>
      <c r="B38" s="6" t="s">
        <v>350</v>
      </c>
      <c r="C38" s="6" t="s">
        <v>217</v>
      </c>
      <c r="D38" s="6" t="s">
        <v>71</v>
      </c>
      <c r="E38" s="6" t="s">
        <v>218</v>
      </c>
      <c r="F38" s="6" t="s">
        <v>351</v>
      </c>
      <c r="G38" s="6" t="s">
        <v>352</v>
      </c>
      <c r="H38" s="6" t="s">
        <v>353</v>
      </c>
      <c r="I38" s="6" t="s">
        <v>354</v>
      </c>
      <c r="J38" s="6" t="s">
        <v>355</v>
      </c>
      <c r="K38" s="6" t="s">
        <v>105</v>
      </c>
    </row>
    <row r="39" customFormat="false" ht="32.8" hidden="false" customHeight="false" outlineLevel="0" collapsed="false">
      <c r="A39" s="5" t="s">
        <v>356</v>
      </c>
      <c r="B39" s="6" t="s">
        <v>357</v>
      </c>
      <c r="C39" s="6" t="s">
        <v>358</v>
      </c>
      <c r="D39" s="6" t="s">
        <v>71</v>
      </c>
      <c r="E39" s="6" t="s">
        <v>359</v>
      </c>
      <c r="F39" s="6" t="s">
        <v>360</v>
      </c>
      <c r="G39" s="6" t="s">
        <v>361</v>
      </c>
      <c r="H39" s="6" t="s">
        <v>362</v>
      </c>
      <c r="I39" s="6" t="s">
        <v>363</v>
      </c>
      <c r="J39" s="6" t="s">
        <v>364</v>
      </c>
      <c r="K39" s="6" t="s">
        <v>105</v>
      </c>
    </row>
    <row r="40" customFormat="false" ht="32.8" hidden="false" customHeight="false" outlineLevel="0" collapsed="false">
      <c r="A40" s="5" t="s">
        <v>365</v>
      </c>
      <c r="B40" s="6" t="s">
        <v>366</v>
      </c>
      <c r="C40" s="6" t="s">
        <v>367</v>
      </c>
      <c r="D40" s="6" t="s">
        <v>368</v>
      </c>
      <c r="E40" s="6" t="s">
        <v>369</v>
      </c>
      <c r="F40" s="6" t="s">
        <v>370</v>
      </c>
      <c r="G40" s="6" t="s">
        <v>371</v>
      </c>
      <c r="H40" s="6" t="s">
        <v>372</v>
      </c>
      <c r="I40" s="6" t="s">
        <v>373</v>
      </c>
      <c r="J40" s="6" t="s">
        <v>374</v>
      </c>
      <c r="K40" s="6" t="s">
        <v>152</v>
      </c>
    </row>
    <row r="41" customFormat="false" ht="43.25" hidden="false" customHeight="false" outlineLevel="0" collapsed="false">
      <c r="A41" s="5" t="s">
        <v>375</v>
      </c>
      <c r="B41" s="6" t="s">
        <v>376</v>
      </c>
      <c r="C41" s="6" t="s">
        <v>367</v>
      </c>
      <c r="D41" s="6" t="s">
        <v>377</v>
      </c>
      <c r="E41" s="6" t="s">
        <v>99</v>
      </c>
      <c r="F41" s="6" t="s">
        <v>378</v>
      </c>
      <c r="G41" s="6" t="s">
        <v>379</v>
      </c>
      <c r="H41" s="6" t="s">
        <v>380</v>
      </c>
      <c r="I41" s="6" t="s">
        <v>381</v>
      </c>
      <c r="J41" s="6" t="s">
        <v>382</v>
      </c>
      <c r="K41" s="6" t="s">
        <v>105</v>
      </c>
    </row>
    <row r="42" customFormat="false" ht="22.35" hidden="false" customHeight="false" outlineLevel="0" collapsed="false">
      <c r="A42" s="5" t="s">
        <v>383</v>
      </c>
      <c r="B42" s="6" t="s">
        <v>384</v>
      </c>
      <c r="C42" s="6" t="s">
        <v>385</v>
      </c>
      <c r="D42" s="6" t="s">
        <v>386</v>
      </c>
      <c r="E42" s="6" t="s">
        <v>387</v>
      </c>
      <c r="F42" s="6" t="s">
        <v>388</v>
      </c>
      <c r="G42" s="6" t="s">
        <v>389</v>
      </c>
      <c r="H42" s="6" t="s">
        <v>390</v>
      </c>
      <c r="I42" s="6" t="s">
        <v>391</v>
      </c>
      <c r="J42" s="6" t="s">
        <v>392</v>
      </c>
      <c r="K42" s="6" t="s">
        <v>258</v>
      </c>
    </row>
    <row r="43" customFormat="false" ht="22.35" hidden="false" customHeight="false" outlineLevel="0" collapsed="false">
      <c r="A43" s="5" t="s">
        <v>393</v>
      </c>
      <c r="B43" s="6" t="s">
        <v>394</v>
      </c>
      <c r="C43" s="6" t="s">
        <v>395</v>
      </c>
      <c r="D43" s="6" t="s">
        <v>47</v>
      </c>
      <c r="E43" s="6" t="s">
        <v>396</v>
      </c>
      <c r="F43" s="6" t="s">
        <v>397</v>
      </c>
      <c r="G43" s="6" t="s">
        <v>398</v>
      </c>
      <c r="H43" s="6" t="s">
        <v>399</v>
      </c>
      <c r="I43" s="6" t="s">
        <v>400</v>
      </c>
      <c r="J43" s="6" t="s">
        <v>401</v>
      </c>
      <c r="K43" s="6" t="s">
        <v>402</v>
      </c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9" min="9" style="0" width="45"/>
    <col collapsed="false" customWidth="true" hidden="false" outlineLevel="0" max="10" min="10" style="0" width="20"/>
    <col collapsed="false" customWidth="true" hidden="false" outlineLevel="0" max="11" min="11" style="0" width="4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30"/>
  </cols>
  <sheetData>
    <row r="1" customFormat="false" ht="30" hidden="false" customHeight="true" outlineLevel="0" collapsed="false">
      <c r="A1" s="4" t="s">
        <v>403</v>
      </c>
      <c r="B1" s="4" t="s">
        <v>23</v>
      </c>
      <c r="C1" s="4" t="s">
        <v>404</v>
      </c>
      <c r="D1" s="4" t="s">
        <v>25</v>
      </c>
      <c r="E1" s="4" t="s">
        <v>405</v>
      </c>
      <c r="F1" s="4" t="s">
        <v>406</v>
      </c>
      <c r="G1" s="4" t="s">
        <v>407</v>
      </c>
      <c r="H1" s="4" t="s">
        <v>28</v>
      </c>
      <c r="I1" s="4" t="s">
        <v>408</v>
      </c>
      <c r="J1" s="4" t="s">
        <v>409</v>
      </c>
      <c r="K1" s="4" t="s">
        <v>410</v>
      </c>
      <c r="L1" s="4" t="s">
        <v>411</v>
      </c>
      <c r="M1" s="4" t="s">
        <v>412</v>
      </c>
      <c r="N1" s="4" t="s">
        <v>413</v>
      </c>
      <c r="O1" s="4" t="s">
        <v>414</v>
      </c>
      <c r="P1" s="4" t="s">
        <v>415</v>
      </c>
      <c r="Q1" s="4" t="s">
        <v>416</v>
      </c>
    </row>
    <row r="2" customFormat="false" ht="22.35" hidden="false" customHeight="false" outlineLevel="0" collapsed="false">
      <c r="A2" s="5" t="s">
        <v>417</v>
      </c>
      <c r="B2" s="6" t="s">
        <v>34</v>
      </c>
      <c r="C2" s="6" t="s">
        <v>38</v>
      </c>
      <c r="D2" s="6" t="s">
        <v>36</v>
      </c>
      <c r="E2" s="6" t="s">
        <v>418</v>
      </c>
      <c r="F2" s="6" t="s">
        <v>419</v>
      </c>
      <c r="G2" s="6" t="s">
        <v>420</v>
      </c>
      <c r="H2" s="6" t="s">
        <v>421</v>
      </c>
      <c r="I2" s="6" t="s">
        <v>422</v>
      </c>
      <c r="J2" s="6" t="s">
        <v>423</v>
      </c>
      <c r="K2" s="6" t="s">
        <v>424</v>
      </c>
      <c r="L2" s="6" t="s">
        <v>425</v>
      </c>
      <c r="M2" s="7" t="s">
        <v>426</v>
      </c>
      <c r="N2" s="7"/>
      <c r="O2" s="7"/>
      <c r="P2" s="7"/>
      <c r="Q2" s="6" t="s">
        <v>427</v>
      </c>
    </row>
    <row r="3" customFormat="false" ht="22.35" hidden="false" customHeight="false" outlineLevel="0" collapsed="false">
      <c r="A3" s="5" t="s">
        <v>428</v>
      </c>
      <c r="B3" s="6" t="s">
        <v>45</v>
      </c>
      <c r="C3" s="6" t="s">
        <v>38</v>
      </c>
      <c r="D3" s="6" t="s">
        <v>36</v>
      </c>
      <c r="E3" s="6" t="s">
        <v>429</v>
      </c>
      <c r="F3" s="6" t="s">
        <v>430</v>
      </c>
      <c r="G3" s="6" t="s">
        <v>420</v>
      </c>
      <c r="H3" s="6" t="s">
        <v>431</v>
      </c>
      <c r="I3" s="6" t="s">
        <v>432</v>
      </c>
      <c r="J3" s="6" t="s">
        <v>433</v>
      </c>
      <c r="K3" s="6" t="s">
        <v>434</v>
      </c>
      <c r="L3" s="6" t="s">
        <v>425</v>
      </c>
      <c r="M3" s="7" t="s">
        <v>426</v>
      </c>
      <c r="N3" s="7"/>
      <c r="O3" s="7"/>
      <c r="P3" s="7"/>
      <c r="Q3" s="6"/>
    </row>
    <row r="4" customFormat="false" ht="22.35" hidden="false" customHeight="false" outlineLevel="0" collapsed="false">
      <c r="A4" s="5" t="s">
        <v>435</v>
      </c>
      <c r="B4" s="6" t="s">
        <v>53</v>
      </c>
      <c r="C4" s="6" t="s">
        <v>38</v>
      </c>
      <c r="D4" s="6" t="s">
        <v>36</v>
      </c>
      <c r="E4" s="6" t="s">
        <v>436</v>
      </c>
      <c r="F4" s="6" t="s">
        <v>419</v>
      </c>
      <c r="G4" s="6" t="s">
        <v>420</v>
      </c>
      <c r="H4" s="6" t="s">
        <v>437</v>
      </c>
      <c r="I4" s="6" t="s">
        <v>438</v>
      </c>
      <c r="J4" s="6" t="s">
        <v>439</v>
      </c>
      <c r="K4" s="6" t="s">
        <v>440</v>
      </c>
      <c r="L4" s="6" t="s">
        <v>425</v>
      </c>
      <c r="M4" s="7" t="s">
        <v>426</v>
      </c>
      <c r="N4" s="7"/>
      <c r="O4" s="7"/>
      <c r="P4" s="7"/>
      <c r="Q4" s="6"/>
    </row>
    <row r="5" customFormat="false" ht="15" hidden="false" customHeight="false" outlineLevel="0" collapsed="false">
      <c r="A5" s="5" t="s">
        <v>441</v>
      </c>
      <c r="B5" s="6" t="s">
        <v>34</v>
      </c>
      <c r="C5" s="6" t="s">
        <v>38</v>
      </c>
      <c r="D5" s="6" t="s">
        <v>36</v>
      </c>
      <c r="E5" s="6" t="s">
        <v>442</v>
      </c>
      <c r="F5" s="6" t="s">
        <v>430</v>
      </c>
      <c r="G5" s="6" t="s">
        <v>443</v>
      </c>
      <c r="H5" s="6" t="s">
        <v>444</v>
      </c>
      <c r="I5" s="6" t="s">
        <v>445</v>
      </c>
      <c r="J5" s="6" t="s">
        <v>446</v>
      </c>
      <c r="K5" s="6" t="s">
        <v>447</v>
      </c>
      <c r="L5" s="6" t="s">
        <v>448</v>
      </c>
      <c r="M5" s="7" t="s">
        <v>449</v>
      </c>
      <c r="N5" s="7"/>
      <c r="O5" s="7"/>
      <c r="P5" s="7"/>
      <c r="Q5" s="6"/>
    </row>
    <row r="6" customFormat="false" ht="22.35" hidden="false" customHeight="false" outlineLevel="0" collapsed="false">
      <c r="A6" s="5" t="s">
        <v>450</v>
      </c>
      <c r="B6" s="6" t="s">
        <v>34</v>
      </c>
      <c r="C6" s="6" t="s">
        <v>38</v>
      </c>
      <c r="D6" s="6" t="s">
        <v>36</v>
      </c>
      <c r="E6" s="6" t="s">
        <v>451</v>
      </c>
      <c r="F6" s="6" t="s">
        <v>430</v>
      </c>
      <c r="G6" s="6" t="s">
        <v>443</v>
      </c>
      <c r="H6" s="6" t="s">
        <v>421</v>
      </c>
      <c r="I6" s="6" t="s">
        <v>452</v>
      </c>
      <c r="J6" s="6" t="s">
        <v>453</v>
      </c>
      <c r="K6" s="6" t="s">
        <v>454</v>
      </c>
      <c r="L6" s="6" t="s">
        <v>448</v>
      </c>
      <c r="M6" s="7" t="s">
        <v>449</v>
      </c>
      <c r="N6" s="7"/>
      <c r="O6" s="7"/>
      <c r="P6" s="7"/>
      <c r="Q6" s="6"/>
    </row>
    <row r="7" customFormat="false" ht="15" hidden="false" customHeight="false" outlineLevel="0" collapsed="false">
      <c r="A7" s="5" t="s">
        <v>455</v>
      </c>
      <c r="B7" s="6" t="s">
        <v>45</v>
      </c>
      <c r="C7" s="6" t="s">
        <v>38</v>
      </c>
      <c r="D7" s="6" t="s">
        <v>36</v>
      </c>
      <c r="E7" s="6" t="s">
        <v>456</v>
      </c>
      <c r="F7" s="6" t="s">
        <v>419</v>
      </c>
      <c r="G7" s="6" t="s">
        <v>420</v>
      </c>
      <c r="H7" s="6" t="s">
        <v>431</v>
      </c>
      <c r="I7" s="6" t="s">
        <v>457</v>
      </c>
      <c r="J7" s="6" t="s">
        <v>431</v>
      </c>
      <c r="K7" s="6" t="s">
        <v>458</v>
      </c>
      <c r="L7" s="6" t="s">
        <v>448</v>
      </c>
      <c r="M7" s="7" t="s">
        <v>449</v>
      </c>
      <c r="N7" s="7"/>
      <c r="O7" s="7"/>
      <c r="P7" s="7"/>
      <c r="Q7" s="6" t="s">
        <v>459</v>
      </c>
    </row>
    <row r="8" customFormat="false" ht="22.35" hidden="false" customHeight="false" outlineLevel="0" collapsed="false">
      <c r="A8" s="5" t="s">
        <v>460</v>
      </c>
      <c r="B8" s="6" t="s">
        <v>45</v>
      </c>
      <c r="C8" s="6" t="s">
        <v>337</v>
      </c>
      <c r="D8" s="6" t="s">
        <v>36</v>
      </c>
      <c r="E8" s="6" t="s">
        <v>461</v>
      </c>
      <c r="F8" s="6" t="s">
        <v>430</v>
      </c>
      <c r="G8" s="6" t="s">
        <v>420</v>
      </c>
      <c r="H8" s="6" t="s">
        <v>462</v>
      </c>
      <c r="I8" s="6" t="s">
        <v>463</v>
      </c>
      <c r="J8" s="6" t="s">
        <v>464</v>
      </c>
      <c r="K8" s="6" t="s">
        <v>465</v>
      </c>
      <c r="L8" s="6" t="s">
        <v>448</v>
      </c>
      <c r="M8" s="7" t="s">
        <v>449</v>
      </c>
      <c r="N8" s="7"/>
      <c r="O8" s="7"/>
      <c r="P8" s="7"/>
      <c r="Q8" s="6"/>
    </row>
    <row r="9" customFormat="false" ht="22.35" hidden="false" customHeight="false" outlineLevel="0" collapsed="false">
      <c r="A9" s="5" t="s">
        <v>466</v>
      </c>
      <c r="B9" s="6" t="s">
        <v>61</v>
      </c>
      <c r="C9" s="6" t="s">
        <v>38</v>
      </c>
      <c r="D9" s="6" t="s">
        <v>36</v>
      </c>
      <c r="E9" s="6" t="s">
        <v>467</v>
      </c>
      <c r="F9" s="6" t="s">
        <v>419</v>
      </c>
      <c r="G9" s="6" t="s">
        <v>443</v>
      </c>
      <c r="H9" s="6" t="s">
        <v>468</v>
      </c>
      <c r="I9" s="6" t="s">
        <v>469</v>
      </c>
      <c r="J9" s="6" t="s">
        <v>470</v>
      </c>
      <c r="K9" s="6" t="s">
        <v>471</v>
      </c>
      <c r="L9" s="6" t="s">
        <v>448</v>
      </c>
      <c r="M9" s="7" t="s">
        <v>449</v>
      </c>
      <c r="N9" s="7"/>
      <c r="O9" s="7"/>
      <c r="P9" s="7"/>
      <c r="Q9" s="6"/>
    </row>
    <row r="10" customFormat="false" ht="15" hidden="false" customHeight="false" outlineLevel="0" collapsed="false">
      <c r="A10" s="5" t="s">
        <v>472</v>
      </c>
      <c r="B10" s="6" t="s">
        <v>53</v>
      </c>
      <c r="C10" s="6" t="s">
        <v>38</v>
      </c>
      <c r="D10" s="6" t="s">
        <v>36</v>
      </c>
      <c r="E10" s="6" t="s">
        <v>473</v>
      </c>
      <c r="F10" s="6" t="s">
        <v>430</v>
      </c>
      <c r="G10" s="6" t="s">
        <v>474</v>
      </c>
      <c r="H10" s="6" t="s">
        <v>421</v>
      </c>
      <c r="I10" s="6" t="s">
        <v>475</v>
      </c>
      <c r="J10" s="6" t="s">
        <v>476</v>
      </c>
      <c r="K10" s="6" t="s">
        <v>477</v>
      </c>
      <c r="L10" s="6" t="s">
        <v>448</v>
      </c>
      <c r="M10" s="7" t="s">
        <v>449</v>
      </c>
      <c r="N10" s="7"/>
      <c r="O10" s="7"/>
      <c r="P10" s="7"/>
      <c r="Q10" s="6"/>
    </row>
    <row r="11" customFormat="false" ht="22.35" hidden="false" customHeight="false" outlineLevel="0" collapsed="false">
      <c r="A11" s="5" t="s">
        <v>478</v>
      </c>
      <c r="B11" s="6" t="s">
        <v>68</v>
      </c>
      <c r="C11" s="6" t="s">
        <v>38</v>
      </c>
      <c r="D11" s="6" t="s">
        <v>36</v>
      </c>
      <c r="E11" s="6" t="s">
        <v>479</v>
      </c>
      <c r="F11" s="6" t="s">
        <v>480</v>
      </c>
      <c r="G11" s="6" t="s">
        <v>420</v>
      </c>
      <c r="H11" s="6" t="s">
        <v>481</v>
      </c>
      <c r="I11" s="6" t="s">
        <v>482</v>
      </c>
      <c r="J11" s="6" t="s">
        <v>483</v>
      </c>
      <c r="K11" s="6" t="s">
        <v>484</v>
      </c>
      <c r="L11" s="6" t="s">
        <v>448</v>
      </c>
      <c r="M11" s="7" t="s">
        <v>485</v>
      </c>
      <c r="N11" s="7"/>
      <c r="O11" s="7"/>
      <c r="P11" s="7"/>
      <c r="Q11" s="6" t="s">
        <v>486</v>
      </c>
    </row>
    <row r="12" customFormat="false" ht="22.35" hidden="false" customHeight="false" outlineLevel="0" collapsed="false">
      <c r="A12" s="5" t="s">
        <v>487</v>
      </c>
      <c r="B12" s="6" t="s">
        <v>77</v>
      </c>
      <c r="C12" s="6" t="s">
        <v>488</v>
      </c>
      <c r="D12" s="6" t="s">
        <v>79</v>
      </c>
      <c r="E12" s="6" t="s">
        <v>489</v>
      </c>
      <c r="F12" s="6" t="s">
        <v>419</v>
      </c>
      <c r="G12" s="6" t="s">
        <v>420</v>
      </c>
      <c r="H12" s="6" t="s">
        <v>468</v>
      </c>
      <c r="I12" s="6" t="s">
        <v>490</v>
      </c>
      <c r="J12" s="6" t="s">
        <v>491</v>
      </c>
      <c r="K12" s="6" t="s">
        <v>492</v>
      </c>
      <c r="L12" s="6" t="s">
        <v>425</v>
      </c>
      <c r="M12" s="7" t="s">
        <v>426</v>
      </c>
      <c r="N12" s="7"/>
      <c r="O12" s="7"/>
      <c r="P12" s="7"/>
      <c r="Q12" s="6" t="s">
        <v>493</v>
      </c>
    </row>
    <row r="13" customFormat="false" ht="43.25" hidden="false" customHeight="false" outlineLevel="0" collapsed="false">
      <c r="A13" s="5" t="s">
        <v>494</v>
      </c>
      <c r="B13" s="6" t="s">
        <v>77</v>
      </c>
      <c r="C13" s="6" t="s">
        <v>488</v>
      </c>
      <c r="D13" s="6" t="s">
        <v>79</v>
      </c>
      <c r="E13" s="6" t="s">
        <v>495</v>
      </c>
      <c r="F13" s="6" t="s">
        <v>496</v>
      </c>
      <c r="G13" s="6" t="s">
        <v>420</v>
      </c>
      <c r="H13" s="6" t="s">
        <v>497</v>
      </c>
      <c r="I13" s="6" t="s">
        <v>498</v>
      </c>
      <c r="J13" s="6" t="s">
        <v>499</v>
      </c>
      <c r="K13" s="6" t="s">
        <v>500</v>
      </c>
      <c r="L13" s="6" t="s">
        <v>501</v>
      </c>
      <c r="M13" s="7" t="s">
        <v>449</v>
      </c>
      <c r="N13" s="7"/>
      <c r="O13" s="7"/>
      <c r="P13" s="7"/>
      <c r="Q13" s="6" t="s">
        <v>502</v>
      </c>
    </row>
    <row r="14" customFormat="false" ht="22.35" hidden="false" customHeight="false" outlineLevel="0" collapsed="false">
      <c r="A14" s="5" t="s">
        <v>503</v>
      </c>
      <c r="B14" s="6" t="s">
        <v>77</v>
      </c>
      <c r="C14" s="6" t="s">
        <v>488</v>
      </c>
      <c r="D14" s="6" t="s">
        <v>79</v>
      </c>
      <c r="E14" s="6" t="s">
        <v>504</v>
      </c>
      <c r="F14" s="6" t="s">
        <v>505</v>
      </c>
      <c r="G14" s="6" t="s">
        <v>443</v>
      </c>
      <c r="H14" s="6" t="s">
        <v>497</v>
      </c>
      <c r="I14" s="6" t="s">
        <v>506</v>
      </c>
      <c r="J14" s="6" t="s">
        <v>507</v>
      </c>
      <c r="K14" s="6" t="s">
        <v>508</v>
      </c>
      <c r="L14" s="6" t="s">
        <v>448</v>
      </c>
      <c r="M14" s="7" t="s">
        <v>449</v>
      </c>
      <c r="N14" s="7"/>
      <c r="O14" s="7"/>
      <c r="P14" s="7"/>
      <c r="Q14" s="6"/>
    </row>
    <row r="15" customFormat="false" ht="15" hidden="false" customHeight="false" outlineLevel="0" collapsed="false">
      <c r="A15" s="5" t="s">
        <v>509</v>
      </c>
      <c r="B15" s="6" t="s">
        <v>77</v>
      </c>
      <c r="C15" s="6" t="s">
        <v>488</v>
      </c>
      <c r="D15" s="6" t="s">
        <v>79</v>
      </c>
      <c r="E15" s="6" t="s">
        <v>510</v>
      </c>
      <c r="F15" s="6" t="s">
        <v>430</v>
      </c>
      <c r="G15" s="6" t="s">
        <v>420</v>
      </c>
      <c r="H15" s="6" t="s">
        <v>497</v>
      </c>
      <c r="I15" s="6" t="s">
        <v>511</v>
      </c>
      <c r="J15" s="6" t="s">
        <v>512</v>
      </c>
      <c r="K15" s="6" t="s">
        <v>513</v>
      </c>
      <c r="L15" s="6" t="s">
        <v>425</v>
      </c>
      <c r="M15" s="7" t="s">
        <v>426</v>
      </c>
      <c r="N15" s="7"/>
      <c r="O15" s="7"/>
      <c r="P15" s="7"/>
      <c r="Q15" s="6" t="s">
        <v>514</v>
      </c>
    </row>
    <row r="16" customFormat="false" ht="22.35" hidden="false" customHeight="false" outlineLevel="0" collapsed="false">
      <c r="A16" s="5" t="s">
        <v>515</v>
      </c>
      <c r="B16" s="6" t="s">
        <v>77</v>
      </c>
      <c r="C16" s="6" t="s">
        <v>119</v>
      </c>
      <c r="D16" s="6" t="s">
        <v>79</v>
      </c>
      <c r="E16" s="6" t="s">
        <v>516</v>
      </c>
      <c r="F16" s="6" t="s">
        <v>430</v>
      </c>
      <c r="G16" s="6" t="s">
        <v>420</v>
      </c>
      <c r="H16" s="6" t="s">
        <v>497</v>
      </c>
      <c r="I16" s="6" t="s">
        <v>517</v>
      </c>
      <c r="J16" s="6" t="s">
        <v>518</v>
      </c>
      <c r="K16" s="6" t="s">
        <v>519</v>
      </c>
      <c r="L16" s="6" t="s">
        <v>425</v>
      </c>
      <c r="M16" s="7" t="s">
        <v>426</v>
      </c>
      <c r="N16" s="7"/>
      <c r="O16" s="7"/>
      <c r="P16" s="7"/>
      <c r="Q16" s="6"/>
    </row>
    <row r="17" customFormat="false" ht="15" hidden="false" customHeight="false" outlineLevel="0" collapsed="false">
      <c r="A17" s="5" t="s">
        <v>520</v>
      </c>
      <c r="B17" s="6" t="s">
        <v>77</v>
      </c>
      <c r="C17" s="6" t="s">
        <v>488</v>
      </c>
      <c r="D17" s="6" t="s">
        <v>79</v>
      </c>
      <c r="E17" s="6" t="s">
        <v>521</v>
      </c>
      <c r="F17" s="6" t="s">
        <v>430</v>
      </c>
      <c r="G17" s="6" t="s">
        <v>420</v>
      </c>
      <c r="H17" s="6" t="s">
        <v>497</v>
      </c>
      <c r="I17" s="6" t="s">
        <v>522</v>
      </c>
      <c r="J17" s="6" t="s">
        <v>523</v>
      </c>
      <c r="K17" s="6" t="s">
        <v>524</v>
      </c>
      <c r="L17" s="6" t="s">
        <v>425</v>
      </c>
      <c r="M17" s="7" t="s">
        <v>426</v>
      </c>
      <c r="N17" s="7"/>
      <c r="O17" s="7"/>
      <c r="P17" s="7"/>
      <c r="Q17" s="6"/>
    </row>
    <row r="18" customFormat="false" ht="22.35" hidden="false" customHeight="false" outlineLevel="0" collapsed="false">
      <c r="A18" s="5" t="s">
        <v>525</v>
      </c>
      <c r="B18" s="6" t="s">
        <v>88</v>
      </c>
      <c r="C18" s="6" t="s">
        <v>119</v>
      </c>
      <c r="D18" s="6" t="s">
        <v>79</v>
      </c>
      <c r="E18" s="6" t="s">
        <v>526</v>
      </c>
      <c r="F18" s="6" t="s">
        <v>419</v>
      </c>
      <c r="G18" s="6" t="s">
        <v>420</v>
      </c>
      <c r="H18" s="6" t="s">
        <v>527</v>
      </c>
      <c r="I18" s="6" t="s">
        <v>528</v>
      </c>
      <c r="J18" s="6" t="s">
        <v>527</v>
      </c>
      <c r="K18" s="6" t="s">
        <v>529</v>
      </c>
      <c r="L18" s="6" t="s">
        <v>425</v>
      </c>
      <c r="M18" s="7" t="s">
        <v>426</v>
      </c>
      <c r="N18" s="7"/>
      <c r="O18" s="7"/>
      <c r="P18" s="7"/>
      <c r="Q18" s="6"/>
    </row>
    <row r="19" customFormat="false" ht="22.35" hidden="false" customHeight="false" outlineLevel="0" collapsed="false">
      <c r="A19" s="5" t="s">
        <v>530</v>
      </c>
      <c r="B19" s="6" t="s">
        <v>88</v>
      </c>
      <c r="C19" s="6" t="s">
        <v>488</v>
      </c>
      <c r="D19" s="6" t="s">
        <v>79</v>
      </c>
      <c r="E19" s="6" t="s">
        <v>531</v>
      </c>
      <c r="F19" s="6" t="s">
        <v>430</v>
      </c>
      <c r="G19" s="6" t="s">
        <v>420</v>
      </c>
      <c r="H19" s="6" t="s">
        <v>532</v>
      </c>
      <c r="I19" s="6" t="s">
        <v>533</v>
      </c>
      <c r="J19" s="6" t="s">
        <v>532</v>
      </c>
      <c r="K19" s="6" t="s">
        <v>534</v>
      </c>
      <c r="L19" s="6" t="s">
        <v>425</v>
      </c>
      <c r="M19" s="7" t="s">
        <v>426</v>
      </c>
      <c r="N19" s="7"/>
      <c r="O19" s="7"/>
      <c r="P19" s="7"/>
      <c r="Q19" s="6"/>
    </row>
    <row r="20" customFormat="false" ht="32.8" hidden="false" customHeight="false" outlineLevel="0" collapsed="false">
      <c r="A20" s="5" t="s">
        <v>535</v>
      </c>
      <c r="B20" s="6" t="s">
        <v>77</v>
      </c>
      <c r="C20" s="6" t="s">
        <v>488</v>
      </c>
      <c r="D20" s="6" t="s">
        <v>79</v>
      </c>
      <c r="E20" s="6" t="s">
        <v>536</v>
      </c>
      <c r="F20" s="6" t="s">
        <v>430</v>
      </c>
      <c r="G20" s="6" t="s">
        <v>420</v>
      </c>
      <c r="H20" s="6" t="s">
        <v>537</v>
      </c>
      <c r="I20" s="6" t="s">
        <v>538</v>
      </c>
      <c r="J20" s="6" t="s">
        <v>497</v>
      </c>
      <c r="K20" s="6" t="s">
        <v>539</v>
      </c>
      <c r="L20" s="6" t="s">
        <v>448</v>
      </c>
      <c r="M20" s="7" t="s">
        <v>449</v>
      </c>
      <c r="N20" s="7"/>
      <c r="O20" s="7"/>
      <c r="P20" s="7"/>
      <c r="Q20" s="6" t="s">
        <v>540</v>
      </c>
    </row>
    <row r="21" customFormat="false" ht="22.35" hidden="false" customHeight="false" outlineLevel="0" collapsed="false">
      <c r="A21" s="5" t="s">
        <v>541</v>
      </c>
      <c r="B21" s="6" t="s">
        <v>77</v>
      </c>
      <c r="C21" s="6" t="s">
        <v>488</v>
      </c>
      <c r="D21" s="6" t="s">
        <v>79</v>
      </c>
      <c r="E21" s="6" t="s">
        <v>542</v>
      </c>
      <c r="F21" s="6" t="s">
        <v>496</v>
      </c>
      <c r="G21" s="6" t="s">
        <v>443</v>
      </c>
      <c r="H21" s="6" t="s">
        <v>537</v>
      </c>
      <c r="I21" s="6" t="s">
        <v>543</v>
      </c>
      <c r="J21" s="6" t="s">
        <v>544</v>
      </c>
      <c r="K21" s="6" t="s">
        <v>545</v>
      </c>
      <c r="L21" s="6" t="s">
        <v>448</v>
      </c>
      <c r="M21" s="7" t="s">
        <v>449</v>
      </c>
      <c r="N21" s="7"/>
      <c r="O21" s="7"/>
      <c r="P21" s="7"/>
      <c r="Q21" s="6"/>
    </row>
    <row r="22" customFormat="false" ht="15" hidden="false" customHeight="false" outlineLevel="0" collapsed="false">
      <c r="A22" s="5" t="s">
        <v>546</v>
      </c>
      <c r="B22" s="6" t="s">
        <v>77</v>
      </c>
      <c r="C22" s="6" t="s">
        <v>488</v>
      </c>
      <c r="D22" s="6" t="s">
        <v>79</v>
      </c>
      <c r="E22" s="6" t="s">
        <v>547</v>
      </c>
      <c r="F22" s="6" t="s">
        <v>430</v>
      </c>
      <c r="G22" s="6" t="s">
        <v>443</v>
      </c>
      <c r="H22" s="6" t="s">
        <v>537</v>
      </c>
      <c r="I22" s="6" t="s">
        <v>548</v>
      </c>
      <c r="J22" s="6" t="s">
        <v>549</v>
      </c>
      <c r="K22" s="6" t="s">
        <v>550</v>
      </c>
      <c r="L22" s="6" t="s">
        <v>448</v>
      </c>
      <c r="M22" s="7" t="s">
        <v>449</v>
      </c>
      <c r="N22" s="7"/>
      <c r="O22" s="7"/>
      <c r="P22" s="7"/>
      <c r="Q22" s="6"/>
    </row>
    <row r="23" customFormat="false" ht="22.35" hidden="false" customHeight="false" outlineLevel="0" collapsed="false">
      <c r="A23" s="5" t="s">
        <v>551</v>
      </c>
      <c r="B23" s="6" t="s">
        <v>77</v>
      </c>
      <c r="C23" s="6" t="s">
        <v>119</v>
      </c>
      <c r="D23" s="6" t="s">
        <v>79</v>
      </c>
      <c r="E23" s="6" t="s">
        <v>552</v>
      </c>
      <c r="F23" s="6" t="s">
        <v>430</v>
      </c>
      <c r="G23" s="6" t="s">
        <v>443</v>
      </c>
      <c r="H23" s="6" t="s">
        <v>537</v>
      </c>
      <c r="I23" s="6" t="s">
        <v>553</v>
      </c>
      <c r="J23" s="6" t="s">
        <v>554</v>
      </c>
      <c r="K23" s="6" t="s">
        <v>555</v>
      </c>
      <c r="L23" s="6" t="s">
        <v>448</v>
      </c>
      <c r="M23" s="7" t="s">
        <v>449</v>
      </c>
      <c r="N23" s="7"/>
      <c r="O23" s="7"/>
      <c r="P23" s="7"/>
      <c r="Q23" s="6" t="s">
        <v>556</v>
      </c>
    </row>
    <row r="24" customFormat="false" ht="22.35" hidden="false" customHeight="false" outlineLevel="0" collapsed="false">
      <c r="A24" s="5" t="s">
        <v>557</v>
      </c>
      <c r="B24" s="6" t="s">
        <v>77</v>
      </c>
      <c r="C24" s="6" t="s">
        <v>488</v>
      </c>
      <c r="D24" s="6" t="s">
        <v>79</v>
      </c>
      <c r="E24" s="6" t="s">
        <v>558</v>
      </c>
      <c r="F24" s="6" t="s">
        <v>559</v>
      </c>
      <c r="G24" s="6" t="s">
        <v>474</v>
      </c>
      <c r="H24" s="6" t="s">
        <v>537</v>
      </c>
      <c r="I24" s="6" t="s">
        <v>560</v>
      </c>
      <c r="J24" s="6" t="s">
        <v>476</v>
      </c>
      <c r="K24" s="6" t="s">
        <v>561</v>
      </c>
      <c r="L24" s="6" t="s">
        <v>448</v>
      </c>
      <c r="M24" s="7" t="s">
        <v>449</v>
      </c>
      <c r="N24" s="7"/>
      <c r="O24" s="7"/>
      <c r="P24" s="7"/>
      <c r="Q24" s="6" t="s">
        <v>562</v>
      </c>
    </row>
    <row r="25" customFormat="false" ht="22.35" hidden="false" customHeight="false" outlineLevel="0" collapsed="false">
      <c r="A25" s="5" t="s">
        <v>563</v>
      </c>
      <c r="B25" s="6" t="s">
        <v>77</v>
      </c>
      <c r="C25" s="6" t="s">
        <v>119</v>
      </c>
      <c r="D25" s="6" t="s">
        <v>79</v>
      </c>
      <c r="E25" s="6" t="s">
        <v>564</v>
      </c>
      <c r="F25" s="6" t="s">
        <v>559</v>
      </c>
      <c r="G25" s="6" t="s">
        <v>443</v>
      </c>
      <c r="H25" s="6" t="s">
        <v>565</v>
      </c>
      <c r="I25" s="6" t="s">
        <v>566</v>
      </c>
      <c r="J25" s="6" t="s">
        <v>476</v>
      </c>
      <c r="K25" s="6" t="s">
        <v>567</v>
      </c>
      <c r="L25" s="6" t="s">
        <v>448</v>
      </c>
      <c r="M25" s="7" t="s">
        <v>449</v>
      </c>
      <c r="N25" s="7"/>
      <c r="O25" s="7"/>
      <c r="P25" s="7"/>
      <c r="Q25" s="6" t="s">
        <v>568</v>
      </c>
    </row>
    <row r="26" customFormat="false" ht="15" hidden="false" customHeight="false" outlineLevel="0" collapsed="false">
      <c r="A26" s="5" t="s">
        <v>569</v>
      </c>
      <c r="B26" s="6" t="s">
        <v>88</v>
      </c>
      <c r="C26" s="6" t="s">
        <v>488</v>
      </c>
      <c r="D26" s="6" t="s">
        <v>79</v>
      </c>
      <c r="E26" s="6" t="s">
        <v>570</v>
      </c>
      <c r="F26" s="6" t="s">
        <v>480</v>
      </c>
      <c r="G26" s="6" t="s">
        <v>420</v>
      </c>
      <c r="H26" s="6" t="s">
        <v>571</v>
      </c>
      <c r="I26" s="6" t="s">
        <v>572</v>
      </c>
      <c r="J26" s="6" t="s">
        <v>573</v>
      </c>
      <c r="K26" s="6" t="s">
        <v>574</v>
      </c>
      <c r="L26" s="6" t="s">
        <v>448</v>
      </c>
      <c r="M26" s="7" t="s">
        <v>485</v>
      </c>
      <c r="N26" s="7"/>
      <c r="O26" s="7"/>
      <c r="P26" s="7"/>
      <c r="Q26" s="6" t="s">
        <v>575</v>
      </c>
    </row>
    <row r="27" customFormat="false" ht="22.35" hidden="false" customHeight="false" outlineLevel="0" collapsed="false">
      <c r="A27" s="5" t="s">
        <v>576</v>
      </c>
      <c r="B27" s="6" t="s">
        <v>115</v>
      </c>
      <c r="C27" s="6" t="s">
        <v>119</v>
      </c>
      <c r="D27" s="6" t="s">
        <v>117</v>
      </c>
      <c r="E27" s="6" t="s">
        <v>577</v>
      </c>
      <c r="F27" s="6" t="s">
        <v>419</v>
      </c>
      <c r="G27" s="6" t="s">
        <v>420</v>
      </c>
      <c r="H27" s="6" t="s">
        <v>578</v>
      </c>
      <c r="I27" s="6" t="s">
        <v>579</v>
      </c>
      <c r="J27" s="6" t="s">
        <v>580</v>
      </c>
      <c r="K27" s="6" t="s">
        <v>581</v>
      </c>
      <c r="L27" s="6" t="s">
        <v>425</v>
      </c>
      <c r="M27" s="7" t="s">
        <v>426</v>
      </c>
      <c r="N27" s="7"/>
      <c r="O27" s="7"/>
      <c r="P27" s="7"/>
      <c r="Q27" s="6" t="s">
        <v>582</v>
      </c>
    </row>
    <row r="28" customFormat="false" ht="15" hidden="false" customHeight="false" outlineLevel="0" collapsed="false">
      <c r="A28" s="5" t="s">
        <v>583</v>
      </c>
      <c r="B28" s="6" t="s">
        <v>383</v>
      </c>
      <c r="C28" s="6" t="s">
        <v>119</v>
      </c>
      <c r="D28" s="6" t="s">
        <v>117</v>
      </c>
      <c r="E28" s="6" t="s">
        <v>584</v>
      </c>
      <c r="F28" s="6" t="s">
        <v>480</v>
      </c>
      <c r="G28" s="6" t="s">
        <v>420</v>
      </c>
      <c r="H28" s="6" t="s">
        <v>527</v>
      </c>
      <c r="I28" s="6" t="s">
        <v>585</v>
      </c>
      <c r="J28" s="6" t="s">
        <v>586</v>
      </c>
      <c r="K28" s="6" t="s">
        <v>587</v>
      </c>
      <c r="L28" s="6" t="s">
        <v>425</v>
      </c>
      <c r="M28" s="7" t="s">
        <v>485</v>
      </c>
      <c r="N28" s="7"/>
      <c r="O28" s="7"/>
      <c r="P28" s="7"/>
      <c r="Q28" s="6" t="s">
        <v>588</v>
      </c>
    </row>
    <row r="29" customFormat="false" ht="22.35" hidden="false" customHeight="false" outlineLevel="0" collapsed="false">
      <c r="A29" s="5" t="s">
        <v>589</v>
      </c>
      <c r="B29" s="6" t="s">
        <v>115</v>
      </c>
      <c r="C29" s="6" t="s">
        <v>119</v>
      </c>
      <c r="D29" s="6" t="s">
        <v>117</v>
      </c>
      <c r="E29" s="6" t="s">
        <v>590</v>
      </c>
      <c r="F29" s="6" t="s">
        <v>419</v>
      </c>
      <c r="G29" s="6" t="s">
        <v>420</v>
      </c>
      <c r="H29" s="6" t="s">
        <v>578</v>
      </c>
      <c r="I29" s="6" t="s">
        <v>591</v>
      </c>
      <c r="J29" s="6" t="s">
        <v>527</v>
      </c>
      <c r="K29" s="6" t="s">
        <v>592</v>
      </c>
      <c r="L29" s="6" t="s">
        <v>448</v>
      </c>
      <c r="M29" s="7" t="s">
        <v>449</v>
      </c>
      <c r="N29" s="7"/>
      <c r="O29" s="7"/>
      <c r="P29" s="7"/>
      <c r="Q29" s="6"/>
    </row>
    <row r="30" customFormat="false" ht="22.35" hidden="false" customHeight="false" outlineLevel="0" collapsed="false">
      <c r="A30" s="5" t="s">
        <v>593</v>
      </c>
      <c r="B30" s="6" t="s">
        <v>115</v>
      </c>
      <c r="C30" s="6" t="s">
        <v>119</v>
      </c>
      <c r="D30" s="6" t="s">
        <v>117</v>
      </c>
      <c r="E30" s="6" t="s">
        <v>594</v>
      </c>
      <c r="F30" s="6" t="s">
        <v>419</v>
      </c>
      <c r="G30" s="6" t="s">
        <v>420</v>
      </c>
      <c r="H30" s="6" t="s">
        <v>595</v>
      </c>
      <c r="I30" s="6" t="s">
        <v>596</v>
      </c>
      <c r="J30" s="6" t="s">
        <v>597</v>
      </c>
      <c r="K30" s="6" t="s">
        <v>598</v>
      </c>
      <c r="L30" s="6" t="s">
        <v>448</v>
      </c>
      <c r="M30" s="7" t="s">
        <v>449</v>
      </c>
      <c r="N30" s="7"/>
      <c r="O30" s="7"/>
      <c r="P30" s="7"/>
      <c r="Q30" s="6" t="s">
        <v>599</v>
      </c>
    </row>
    <row r="31" customFormat="false" ht="15" hidden="false" customHeight="false" outlineLevel="0" collapsed="false">
      <c r="A31" s="5" t="s">
        <v>600</v>
      </c>
      <c r="B31" s="6" t="s">
        <v>115</v>
      </c>
      <c r="C31" s="6" t="s">
        <v>119</v>
      </c>
      <c r="D31" s="6" t="s">
        <v>117</v>
      </c>
      <c r="E31" s="6" t="s">
        <v>601</v>
      </c>
      <c r="F31" s="6" t="s">
        <v>480</v>
      </c>
      <c r="G31" s="6" t="s">
        <v>420</v>
      </c>
      <c r="H31" s="6" t="s">
        <v>483</v>
      </c>
      <c r="I31" s="6" t="s">
        <v>602</v>
      </c>
      <c r="J31" s="6" t="s">
        <v>603</v>
      </c>
      <c r="K31" s="6" t="s">
        <v>604</v>
      </c>
      <c r="L31" s="6" t="s">
        <v>448</v>
      </c>
      <c r="M31" s="7" t="s">
        <v>485</v>
      </c>
      <c r="N31" s="7"/>
      <c r="O31" s="7"/>
      <c r="P31" s="7"/>
      <c r="Q31" s="6" t="s">
        <v>575</v>
      </c>
    </row>
    <row r="32" customFormat="false" ht="22.35" hidden="false" customHeight="false" outlineLevel="0" collapsed="false">
      <c r="A32" s="5" t="s">
        <v>605</v>
      </c>
      <c r="B32" s="6" t="s">
        <v>115</v>
      </c>
      <c r="C32" s="6" t="s">
        <v>119</v>
      </c>
      <c r="D32" s="6" t="s">
        <v>117</v>
      </c>
      <c r="E32" s="6" t="s">
        <v>606</v>
      </c>
      <c r="F32" s="6" t="s">
        <v>480</v>
      </c>
      <c r="G32" s="6" t="s">
        <v>420</v>
      </c>
      <c r="H32" s="6" t="s">
        <v>607</v>
      </c>
      <c r="I32" s="6" t="s">
        <v>608</v>
      </c>
      <c r="J32" s="6" t="s">
        <v>607</v>
      </c>
      <c r="K32" s="6" t="s">
        <v>609</v>
      </c>
      <c r="L32" s="6" t="s">
        <v>448</v>
      </c>
      <c r="M32" s="7" t="s">
        <v>485</v>
      </c>
      <c r="N32" s="7"/>
      <c r="O32" s="7"/>
      <c r="P32" s="7"/>
      <c r="Q32" s="6" t="s">
        <v>610</v>
      </c>
    </row>
    <row r="33" customFormat="false" ht="15" hidden="false" customHeight="false" outlineLevel="0" collapsed="false">
      <c r="A33" s="5" t="s">
        <v>611</v>
      </c>
      <c r="B33" s="6" t="s">
        <v>115</v>
      </c>
      <c r="C33" s="6" t="s">
        <v>119</v>
      </c>
      <c r="D33" s="6" t="s">
        <v>117</v>
      </c>
      <c r="E33" s="6" t="s">
        <v>612</v>
      </c>
      <c r="F33" s="6" t="s">
        <v>559</v>
      </c>
      <c r="G33" s="6" t="s">
        <v>474</v>
      </c>
      <c r="H33" s="6" t="s">
        <v>613</v>
      </c>
      <c r="I33" s="6" t="s">
        <v>614</v>
      </c>
      <c r="J33" s="6" t="s">
        <v>476</v>
      </c>
      <c r="K33" s="6" t="s">
        <v>615</v>
      </c>
      <c r="L33" s="6" t="s">
        <v>448</v>
      </c>
      <c r="M33" s="7" t="s">
        <v>449</v>
      </c>
      <c r="N33" s="7"/>
      <c r="O33" s="7"/>
      <c r="P33" s="7"/>
      <c r="Q33" s="6"/>
    </row>
    <row r="34" customFormat="false" ht="15" hidden="false" customHeight="false" outlineLevel="0" collapsed="false">
      <c r="A34" s="5" t="s">
        <v>616</v>
      </c>
      <c r="B34" s="6" t="s">
        <v>125</v>
      </c>
      <c r="C34" s="6" t="s">
        <v>128</v>
      </c>
      <c r="D34" s="6" t="s">
        <v>127</v>
      </c>
      <c r="E34" s="6" t="s">
        <v>617</v>
      </c>
      <c r="F34" s="6" t="s">
        <v>419</v>
      </c>
      <c r="G34" s="6" t="s">
        <v>420</v>
      </c>
      <c r="H34" s="6" t="s">
        <v>618</v>
      </c>
      <c r="I34" s="6" t="s">
        <v>619</v>
      </c>
      <c r="J34" s="6" t="s">
        <v>620</v>
      </c>
      <c r="K34" s="6" t="s">
        <v>621</v>
      </c>
      <c r="L34" s="6" t="s">
        <v>425</v>
      </c>
      <c r="M34" s="7" t="s">
        <v>426</v>
      </c>
      <c r="N34" s="7"/>
      <c r="O34" s="7"/>
      <c r="P34" s="7"/>
      <c r="Q34" s="6"/>
    </row>
    <row r="35" customFormat="false" ht="22.35" hidden="false" customHeight="false" outlineLevel="0" collapsed="false">
      <c r="A35" s="5" t="s">
        <v>622</v>
      </c>
      <c r="B35" s="6" t="s">
        <v>125</v>
      </c>
      <c r="C35" s="6" t="s">
        <v>252</v>
      </c>
      <c r="D35" s="6" t="s">
        <v>127</v>
      </c>
      <c r="E35" s="6" t="s">
        <v>623</v>
      </c>
      <c r="F35" s="6" t="s">
        <v>624</v>
      </c>
      <c r="G35" s="6" t="s">
        <v>420</v>
      </c>
      <c r="H35" s="6" t="s">
        <v>625</v>
      </c>
      <c r="I35" s="6" t="s">
        <v>626</v>
      </c>
      <c r="J35" s="6" t="s">
        <v>627</v>
      </c>
      <c r="K35" s="6" t="s">
        <v>628</v>
      </c>
      <c r="L35" s="6" t="s">
        <v>425</v>
      </c>
      <c r="M35" s="7" t="s">
        <v>426</v>
      </c>
      <c r="N35" s="7"/>
      <c r="O35" s="7"/>
      <c r="P35" s="7"/>
      <c r="Q35" s="6"/>
    </row>
    <row r="36" customFormat="false" ht="22.35" hidden="false" customHeight="false" outlineLevel="0" collapsed="false">
      <c r="A36" s="5" t="s">
        <v>629</v>
      </c>
      <c r="B36" s="6" t="s">
        <v>125</v>
      </c>
      <c r="C36" s="6" t="s">
        <v>128</v>
      </c>
      <c r="D36" s="6" t="s">
        <v>127</v>
      </c>
      <c r="E36" s="6" t="s">
        <v>630</v>
      </c>
      <c r="F36" s="6" t="s">
        <v>419</v>
      </c>
      <c r="G36" s="6" t="s">
        <v>420</v>
      </c>
      <c r="H36" s="6" t="s">
        <v>631</v>
      </c>
      <c r="I36" s="6" t="s">
        <v>632</v>
      </c>
      <c r="J36" s="6" t="s">
        <v>633</v>
      </c>
      <c r="K36" s="6" t="s">
        <v>634</v>
      </c>
      <c r="L36" s="6" t="s">
        <v>448</v>
      </c>
      <c r="M36" s="7" t="s">
        <v>449</v>
      </c>
      <c r="N36" s="7"/>
      <c r="O36" s="7"/>
      <c r="P36" s="7"/>
      <c r="Q36" s="6"/>
    </row>
    <row r="37" customFormat="false" ht="15" hidden="false" customHeight="false" outlineLevel="0" collapsed="false">
      <c r="A37" s="5" t="s">
        <v>635</v>
      </c>
      <c r="B37" s="6" t="s">
        <v>125</v>
      </c>
      <c r="C37" s="6" t="s">
        <v>128</v>
      </c>
      <c r="D37" s="6" t="s">
        <v>127</v>
      </c>
      <c r="E37" s="6" t="s">
        <v>636</v>
      </c>
      <c r="F37" s="6" t="s">
        <v>505</v>
      </c>
      <c r="G37" s="6" t="s">
        <v>443</v>
      </c>
      <c r="H37" s="6" t="s">
        <v>618</v>
      </c>
      <c r="I37" s="6" t="s">
        <v>637</v>
      </c>
      <c r="J37" s="6" t="s">
        <v>638</v>
      </c>
      <c r="K37" s="6" t="s">
        <v>639</v>
      </c>
      <c r="L37" s="6" t="s">
        <v>448</v>
      </c>
      <c r="M37" s="7" t="s">
        <v>449</v>
      </c>
      <c r="N37" s="7"/>
      <c r="O37" s="7"/>
      <c r="P37" s="7"/>
      <c r="Q37" s="6"/>
    </row>
    <row r="38" customFormat="false" ht="22.35" hidden="false" customHeight="false" outlineLevel="0" collapsed="false">
      <c r="A38" s="5" t="s">
        <v>640</v>
      </c>
      <c r="B38" s="6" t="s">
        <v>134</v>
      </c>
      <c r="C38" s="6" t="s">
        <v>128</v>
      </c>
      <c r="D38" s="6" t="s">
        <v>127</v>
      </c>
      <c r="E38" s="6" t="s">
        <v>641</v>
      </c>
      <c r="F38" s="6" t="s">
        <v>559</v>
      </c>
      <c r="G38" s="6" t="s">
        <v>443</v>
      </c>
      <c r="H38" s="6" t="s">
        <v>607</v>
      </c>
      <c r="I38" s="6" t="s">
        <v>642</v>
      </c>
      <c r="J38" s="6" t="s">
        <v>476</v>
      </c>
      <c r="K38" s="6" t="s">
        <v>643</v>
      </c>
      <c r="L38" s="6" t="s">
        <v>448</v>
      </c>
      <c r="M38" s="7" t="s">
        <v>449</v>
      </c>
      <c r="N38" s="7"/>
      <c r="O38" s="7"/>
      <c r="P38" s="7"/>
      <c r="Q38" s="6" t="s">
        <v>644</v>
      </c>
    </row>
    <row r="39" customFormat="false" ht="15" hidden="false" customHeight="false" outlineLevel="0" collapsed="false">
      <c r="A39" s="5" t="s">
        <v>645</v>
      </c>
      <c r="B39" s="6" t="s">
        <v>134</v>
      </c>
      <c r="C39" s="6" t="s">
        <v>38</v>
      </c>
      <c r="D39" s="6" t="s">
        <v>127</v>
      </c>
      <c r="E39" s="6" t="s">
        <v>646</v>
      </c>
      <c r="F39" s="6" t="s">
        <v>419</v>
      </c>
      <c r="G39" s="6" t="s">
        <v>443</v>
      </c>
      <c r="H39" s="6" t="s">
        <v>421</v>
      </c>
      <c r="I39" s="6" t="s">
        <v>647</v>
      </c>
      <c r="J39" s="6" t="s">
        <v>476</v>
      </c>
      <c r="K39" s="6" t="s">
        <v>648</v>
      </c>
      <c r="L39" s="6" t="s">
        <v>448</v>
      </c>
      <c r="M39" s="7" t="s">
        <v>449</v>
      </c>
      <c r="N39" s="7"/>
      <c r="O39" s="7"/>
      <c r="P39" s="7"/>
      <c r="Q39" s="6"/>
    </row>
    <row r="40" customFormat="false" ht="22.35" hidden="false" customHeight="false" outlineLevel="0" collapsed="false">
      <c r="A40" s="5" t="s">
        <v>649</v>
      </c>
      <c r="B40" s="6" t="s">
        <v>134</v>
      </c>
      <c r="C40" s="6" t="s">
        <v>128</v>
      </c>
      <c r="D40" s="6" t="s">
        <v>127</v>
      </c>
      <c r="E40" s="6" t="s">
        <v>650</v>
      </c>
      <c r="F40" s="6" t="s">
        <v>419</v>
      </c>
      <c r="G40" s="6" t="s">
        <v>474</v>
      </c>
      <c r="H40" s="6" t="s">
        <v>476</v>
      </c>
      <c r="I40" s="6" t="s">
        <v>651</v>
      </c>
      <c r="J40" s="6" t="s">
        <v>476</v>
      </c>
      <c r="K40" s="6" t="s">
        <v>652</v>
      </c>
      <c r="L40" s="6" t="s">
        <v>448</v>
      </c>
      <c r="M40" s="7" t="s">
        <v>449</v>
      </c>
      <c r="N40" s="7"/>
      <c r="O40" s="7"/>
      <c r="P40" s="7"/>
      <c r="Q40" s="6" t="s">
        <v>653</v>
      </c>
    </row>
    <row r="41" customFormat="false" ht="22.35" hidden="false" customHeight="false" outlineLevel="0" collapsed="false">
      <c r="A41" s="5" t="s">
        <v>654</v>
      </c>
      <c r="B41" s="6" t="s">
        <v>153</v>
      </c>
      <c r="C41" s="6" t="s">
        <v>173</v>
      </c>
      <c r="D41" s="6" t="s">
        <v>155</v>
      </c>
      <c r="E41" s="6" t="s">
        <v>655</v>
      </c>
      <c r="F41" s="6" t="s">
        <v>419</v>
      </c>
      <c r="G41" s="6" t="s">
        <v>420</v>
      </c>
      <c r="H41" s="6" t="s">
        <v>656</v>
      </c>
      <c r="I41" s="6" t="s">
        <v>657</v>
      </c>
      <c r="J41" s="6" t="s">
        <v>658</v>
      </c>
      <c r="K41" s="6" t="s">
        <v>659</v>
      </c>
      <c r="L41" s="6" t="s">
        <v>425</v>
      </c>
      <c r="M41" s="7" t="s">
        <v>426</v>
      </c>
      <c r="N41" s="7"/>
      <c r="O41" s="7"/>
      <c r="P41" s="7"/>
      <c r="Q41" s="6"/>
    </row>
    <row r="42" customFormat="false" ht="22.35" hidden="false" customHeight="false" outlineLevel="0" collapsed="false">
      <c r="A42" s="5" t="s">
        <v>660</v>
      </c>
      <c r="B42" s="6" t="s">
        <v>153</v>
      </c>
      <c r="C42" s="6" t="s">
        <v>661</v>
      </c>
      <c r="D42" s="6" t="s">
        <v>155</v>
      </c>
      <c r="E42" s="6" t="s">
        <v>662</v>
      </c>
      <c r="F42" s="6" t="s">
        <v>430</v>
      </c>
      <c r="G42" s="6" t="s">
        <v>420</v>
      </c>
      <c r="H42" s="6" t="s">
        <v>663</v>
      </c>
      <c r="I42" s="6" t="s">
        <v>664</v>
      </c>
      <c r="J42" s="6" t="s">
        <v>665</v>
      </c>
      <c r="K42" s="6" t="s">
        <v>666</v>
      </c>
      <c r="L42" s="6" t="s">
        <v>425</v>
      </c>
      <c r="M42" s="7" t="s">
        <v>426</v>
      </c>
      <c r="N42" s="7"/>
      <c r="O42" s="7"/>
      <c r="P42" s="7"/>
      <c r="Q42" s="6"/>
    </row>
    <row r="43" customFormat="false" ht="15" hidden="false" customHeight="false" outlineLevel="0" collapsed="false">
      <c r="A43" s="5" t="s">
        <v>667</v>
      </c>
      <c r="B43" s="6" t="s">
        <v>164</v>
      </c>
      <c r="C43" s="6" t="s">
        <v>661</v>
      </c>
      <c r="D43" s="6" t="s">
        <v>155</v>
      </c>
      <c r="E43" s="6" t="s">
        <v>668</v>
      </c>
      <c r="F43" s="6" t="s">
        <v>419</v>
      </c>
      <c r="G43" s="6" t="s">
        <v>420</v>
      </c>
      <c r="H43" s="6" t="s">
        <v>669</v>
      </c>
      <c r="I43" s="6" t="s">
        <v>670</v>
      </c>
      <c r="J43" s="6" t="s">
        <v>671</v>
      </c>
      <c r="K43" s="6" t="s">
        <v>672</v>
      </c>
      <c r="L43" s="6" t="s">
        <v>425</v>
      </c>
      <c r="M43" s="7" t="s">
        <v>426</v>
      </c>
      <c r="N43" s="7"/>
      <c r="O43" s="7"/>
      <c r="P43" s="7"/>
      <c r="Q43" s="6"/>
    </row>
    <row r="44" customFormat="false" ht="22.35" hidden="false" customHeight="false" outlineLevel="0" collapsed="false">
      <c r="A44" s="5" t="s">
        <v>673</v>
      </c>
      <c r="B44" s="6" t="s">
        <v>383</v>
      </c>
      <c r="C44" s="6" t="s">
        <v>173</v>
      </c>
      <c r="D44" s="6" t="s">
        <v>155</v>
      </c>
      <c r="E44" s="6" t="s">
        <v>674</v>
      </c>
      <c r="F44" s="6" t="s">
        <v>480</v>
      </c>
      <c r="G44" s="6" t="s">
        <v>420</v>
      </c>
      <c r="H44" s="6" t="s">
        <v>675</v>
      </c>
      <c r="I44" s="6" t="s">
        <v>676</v>
      </c>
      <c r="J44" s="6" t="s">
        <v>675</v>
      </c>
      <c r="K44" s="6" t="s">
        <v>677</v>
      </c>
      <c r="L44" s="6" t="s">
        <v>425</v>
      </c>
      <c r="M44" s="7" t="s">
        <v>485</v>
      </c>
      <c r="N44" s="7"/>
      <c r="O44" s="7"/>
      <c r="P44" s="7"/>
      <c r="Q44" s="6" t="s">
        <v>588</v>
      </c>
    </row>
    <row r="45" customFormat="false" ht="15" hidden="false" customHeight="false" outlineLevel="0" collapsed="false">
      <c r="A45" s="5" t="s">
        <v>678</v>
      </c>
      <c r="B45" s="6" t="s">
        <v>171</v>
      </c>
      <c r="C45" s="6" t="s">
        <v>173</v>
      </c>
      <c r="D45" s="6" t="s">
        <v>155</v>
      </c>
      <c r="E45" s="6" t="s">
        <v>679</v>
      </c>
      <c r="F45" s="6" t="s">
        <v>419</v>
      </c>
      <c r="G45" s="6" t="s">
        <v>420</v>
      </c>
      <c r="H45" s="6" t="s">
        <v>675</v>
      </c>
      <c r="I45" s="6" t="s">
        <v>680</v>
      </c>
      <c r="J45" s="6" t="s">
        <v>675</v>
      </c>
      <c r="K45" s="6" t="s">
        <v>681</v>
      </c>
      <c r="L45" s="6" t="s">
        <v>425</v>
      </c>
      <c r="M45" s="7" t="s">
        <v>426</v>
      </c>
      <c r="N45" s="7"/>
      <c r="O45" s="7"/>
      <c r="P45" s="7"/>
      <c r="Q45" s="6"/>
    </row>
    <row r="46" customFormat="false" ht="15" hidden="false" customHeight="false" outlineLevel="0" collapsed="false">
      <c r="A46" s="5" t="s">
        <v>682</v>
      </c>
      <c r="B46" s="6" t="s">
        <v>179</v>
      </c>
      <c r="C46" s="6" t="s">
        <v>182</v>
      </c>
      <c r="D46" s="6" t="s">
        <v>155</v>
      </c>
      <c r="E46" s="6" t="s">
        <v>683</v>
      </c>
      <c r="F46" s="6" t="s">
        <v>419</v>
      </c>
      <c r="G46" s="6" t="s">
        <v>420</v>
      </c>
      <c r="H46" s="6" t="s">
        <v>684</v>
      </c>
      <c r="I46" s="6" t="s">
        <v>685</v>
      </c>
      <c r="J46" s="6" t="s">
        <v>686</v>
      </c>
      <c r="K46" s="6" t="s">
        <v>687</v>
      </c>
      <c r="L46" s="6" t="s">
        <v>425</v>
      </c>
      <c r="M46" s="7" t="s">
        <v>426</v>
      </c>
      <c r="N46" s="7"/>
      <c r="O46" s="7"/>
      <c r="P46" s="7"/>
      <c r="Q46" s="6"/>
    </row>
    <row r="47" customFormat="false" ht="22.35" hidden="false" customHeight="false" outlineLevel="0" collapsed="false">
      <c r="A47" s="5" t="s">
        <v>688</v>
      </c>
      <c r="B47" s="6" t="s">
        <v>188</v>
      </c>
      <c r="C47" s="6" t="s">
        <v>191</v>
      </c>
      <c r="D47" s="6" t="s">
        <v>155</v>
      </c>
      <c r="E47" s="6" t="s">
        <v>689</v>
      </c>
      <c r="F47" s="6" t="s">
        <v>419</v>
      </c>
      <c r="G47" s="6" t="s">
        <v>420</v>
      </c>
      <c r="H47" s="6" t="s">
        <v>684</v>
      </c>
      <c r="I47" s="6" t="s">
        <v>690</v>
      </c>
      <c r="J47" s="6" t="s">
        <v>684</v>
      </c>
      <c r="K47" s="6" t="s">
        <v>691</v>
      </c>
      <c r="L47" s="6" t="s">
        <v>501</v>
      </c>
      <c r="M47" s="7" t="s">
        <v>449</v>
      </c>
      <c r="N47" s="7"/>
      <c r="O47" s="7"/>
      <c r="P47" s="7"/>
      <c r="Q47" s="6" t="s">
        <v>692</v>
      </c>
    </row>
    <row r="48" customFormat="false" ht="22.35" hidden="false" customHeight="false" outlineLevel="0" collapsed="false">
      <c r="A48" s="5" t="s">
        <v>693</v>
      </c>
      <c r="B48" s="6" t="s">
        <v>188</v>
      </c>
      <c r="C48" s="6" t="s">
        <v>191</v>
      </c>
      <c r="D48" s="6" t="s">
        <v>155</v>
      </c>
      <c r="E48" s="6" t="s">
        <v>694</v>
      </c>
      <c r="F48" s="6" t="s">
        <v>419</v>
      </c>
      <c r="G48" s="6" t="s">
        <v>420</v>
      </c>
      <c r="H48" s="6" t="s">
        <v>695</v>
      </c>
      <c r="I48" s="6" t="s">
        <v>696</v>
      </c>
      <c r="J48" s="6" t="s">
        <v>684</v>
      </c>
      <c r="K48" s="6" t="s">
        <v>697</v>
      </c>
      <c r="L48" s="6" t="s">
        <v>448</v>
      </c>
      <c r="M48" s="7" t="s">
        <v>449</v>
      </c>
      <c r="N48" s="7"/>
      <c r="O48" s="7"/>
      <c r="P48" s="7"/>
      <c r="Q48" s="6" t="s">
        <v>698</v>
      </c>
    </row>
    <row r="49" customFormat="false" ht="22.35" hidden="false" customHeight="false" outlineLevel="0" collapsed="false">
      <c r="A49" s="5" t="s">
        <v>699</v>
      </c>
      <c r="B49" s="6" t="s">
        <v>153</v>
      </c>
      <c r="C49" s="6" t="s">
        <v>661</v>
      </c>
      <c r="D49" s="6" t="s">
        <v>155</v>
      </c>
      <c r="E49" s="6" t="s">
        <v>700</v>
      </c>
      <c r="F49" s="6" t="s">
        <v>505</v>
      </c>
      <c r="G49" s="6" t="s">
        <v>420</v>
      </c>
      <c r="H49" s="6" t="s">
        <v>663</v>
      </c>
      <c r="I49" s="6" t="s">
        <v>701</v>
      </c>
      <c r="J49" s="6" t="s">
        <v>702</v>
      </c>
      <c r="K49" s="6" t="s">
        <v>703</v>
      </c>
      <c r="L49" s="6" t="s">
        <v>448</v>
      </c>
      <c r="M49" s="7" t="s">
        <v>449</v>
      </c>
      <c r="N49" s="7"/>
      <c r="O49" s="7"/>
      <c r="P49" s="7"/>
      <c r="Q49" s="6" t="s">
        <v>704</v>
      </c>
    </row>
    <row r="50" customFormat="false" ht="22.35" hidden="false" customHeight="false" outlineLevel="0" collapsed="false">
      <c r="A50" s="5" t="s">
        <v>705</v>
      </c>
      <c r="B50" s="6" t="s">
        <v>153</v>
      </c>
      <c r="C50" s="6" t="s">
        <v>661</v>
      </c>
      <c r="D50" s="6" t="s">
        <v>155</v>
      </c>
      <c r="E50" s="6" t="s">
        <v>706</v>
      </c>
      <c r="F50" s="6" t="s">
        <v>430</v>
      </c>
      <c r="G50" s="6" t="s">
        <v>420</v>
      </c>
      <c r="H50" s="6" t="s">
        <v>663</v>
      </c>
      <c r="I50" s="6" t="s">
        <v>707</v>
      </c>
      <c r="J50" s="6" t="s">
        <v>702</v>
      </c>
      <c r="K50" s="6" t="s">
        <v>708</v>
      </c>
      <c r="L50" s="6" t="s">
        <v>448</v>
      </c>
      <c r="M50" s="7" t="s">
        <v>449</v>
      </c>
      <c r="N50" s="7"/>
      <c r="O50" s="7"/>
      <c r="P50" s="7"/>
      <c r="Q50" s="6"/>
    </row>
    <row r="51" customFormat="false" ht="22.35" hidden="false" customHeight="false" outlineLevel="0" collapsed="false">
      <c r="A51" s="5" t="s">
        <v>709</v>
      </c>
      <c r="B51" s="6" t="s">
        <v>153</v>
      </c>
      <c r="C51" s="6" t="s">
        <v>661</v>
      </c>
      <c r="D51" s="6" t="s">
        <v>155</v>
      </c>
      <c r="E51" s="6" t="s">
        <v>710</v>
      </c>
      <c r="F51" s="6" t="s">
        <v>419</v>
      </c>
      <c r="G51" s="6" t="s">
        <v>443</v>
      </c>
      <c r="H51" s="6" t="s">
        <v>711</v>
      </c>
      <c r="I51" s="6" t="s">
        <v>712</v>
      </c>
      <c r="J51" s="6" t="s">
        <v>671</v>
      </c>
      <c r="K51" s="6" t="s">
        <v>713</v>
      </c>
      <c r="L51" s="6" t="s">
        <v>448</v>
      </c>
      <c r="M51" s="7" t="s">
        <v>449</v>
      </c>
      <c r="N51" s="7"/>
      <c r="O51" s="7"/>
      <c r="P51" s="7"/>
      <c r="Q51" s="6" t="s">
        <v>714</v>
      </c>
    </row>
    <row r="52" customFormat="false" ht="22.35" hidden="false" customHeight="false" outlineLevel="0" collapsed="false">
      <c r="A52" s="5" t="s">
        <v>715</v>
      </c>
      <c r="B52" s="6" t="s">
        <v>153</v>
      </c>
      <c r="C52" s="6" t="s">
        <v>173</v>
      </c>
      <c r="D52" s="6" t="s">
        <v>155</v>
      </c>
      <c r="E52" s="6" t="s">
        <v>716</v>
      </c>
      <c r="F52" s="6" t="s">
        <v>430</v>
      </c>
      <c r="G52" s="6" t="s">
        <v>420</v>
      </c>
      <c r="H52" s="6" t="s">
        <v>717</v>
      </c>
      <c r="I52" s="6" t="s">
        <v>718</v>
      </c>
      <c r="J52" s="6" t="s">
        <v>476</v>
      </c>
      <c r="K52" s="6" t="s">
        <v>719</v>
      </c>
      <c r="L52" s="6" t="s">
        <v>448</v>
      </c>
      <c r="M52" s="7" t="s">
        <v>449</v>
      </c>
      <c r="N52" s="7"/>
      <c r="O52" s="7"/>
      <c r="P52" s="7"/>
      <c r="Q52" s="6"/>
    </row>
    <row r="53" customFormat="false" ht="15" hidden="false" customHeight="false" outlineLevel="0" collapsed="false">
      <c r="A53" s="5" t="s">
        <v>720</v>
      </c>
      <c r="B53" s="6" t="s">
        <v>153</v>
      </c>
      <c r="C53" s="6" t="s">
        <v>173</v>
      </c>
      <c r="D53" s="6" t="s">
        <v>155</v>
      </c>
      <c r="E53" s="6" t="s">
        <v>721</v>
      </c>
      <c r="F53" s="6" t="s">
        <v>430</v>
      </c>
      <c r="G53" s="6" t="s">
        <v>443</v>
      </c>
      <c r="H53" s="6" t="s">
        <v>722</v>
      </c>
      <c r="I53" s="6" t="s">
        <v>723</v>
      </c>
      <c r="J53" s="6" t="s">
        <v>724</v>
      </c>
      <c r="K53" s="6" t="s">
        <v>725</v>
      </c>
      <c r="L53" s="6" t="s">
        <v>448</v>
      </c>
      <c r="M53" s="7" t="s">
        <v>449</v>
      </c>
      <c r="N53" s="7"/>
      <c r="O53" s="7"/>
      <c r="P53" s="7"/>
      <c r="Q53" s="6" t="s">
        <v>726</v>
      </c>
    </row>
    <row r="54" customFormat="false" ht="15" hidden="false" customHeight="false" outlineLevel="0" collapsed="false">
      <c r="A54" s="5" t="s">
        <v>727</v>
      </c>
      <c r="B54" s="6" t="s">
        <v>153</v>
      </c>
      <c r="C54" s="6" t="s">
        <v>173</v>
      </c>
      <c r="D54" s="6" t="s">
        <v>155</v>
      </c>
      <c r="E54" s="6" t="s">
        <v>728</v>
      </c>
      <c r="F54" s="6" t="s">
        <v>480</v>
      </c>
      <c r="G54" s="6" t="s">
        <v>420</v>
      </c>
      <c r="H54" s="6" t="s">
        <v>586</v>
      </c>
      <c r="I54" s="6" t="s">
        <v>729</v>
      </c>
      <c r="J54" s="6" t="s">
        <v>527</v>
      </c>
      <c r="K54" s="6" t="s">
        <v>730</v>
      </c>
      <c r="L54" s="6" t="s">
        <v>448</v>
      </c>
      <c r="M54" s="7" t="s">
        <v>485</v>
      </c>
      <c r="N54" s="7"/>
      <c r="O54" s="7"/>
      <c r="P54" s="7"/>
      <c r="Q54" s="6" t="s">
        <v>575</v>
      </c>
    </row>
    <row r="55" customFormat="false" ht="22.35" hidden="false" customHeight="false" outlineLevel="0" collapsed="false">
      <c r="A55" s="5" t="s">
        <v>731</v>
      </c>
      <c r="B55" s="6" t="s">
        <v>179</v>
      </c>
      <c r="C55" s="6" t="s">
        <v>182</v>
      </c>
      <c r="D55" s="6" t="s">
        <v>155</v>
      </c>
      <c r="E55" s="6" t="s">
        <v>732</v>
      </c>
      <c r="F55" s="6" t="s">
        <v>430</v>
      </c>
      <c r="G55" s="6" t="s">
        <v>420</v>
      </c>
      <c r="H55" s="6" t="s">
        <v>733</v>
      </c>
      <c r="I55" s="6" t="s">
        <v>734</v>
      </c>
      <c r="J55" s="6" t="s">
        <v>476</v>
      </c>
      <c r="K55" s="6" t="s">
        <v>735</v>
      </c>
      <c r="L55" s="6" t="s">
        <v>448</v>
      </c>
      <c r="M55" s="7" t="s">
        <v>449</v>
      </c>
      <c r="N55" s="7"/>
      <c r="O55" s="7"/>
      <c r="P55" s="7"/>
      <c r="Q55" s="6"/>
    </row>
    <row r="56" customFormat="false" ht="15" hidden="false" customHeight="false" outlineLevel="0" collapsed="false">
      <c r="A56" s="5" t="s">
        <v>736</v>
      </c>
      <c r="B56" s="6" t="s">
        <v>188</v>
      </c>
      <c r="C56" s="6" t="s">
        <v>191</v>
      </c>
      <c r="D56" s="6" t="s">
        <v>155</v>
      </c>
      <c r="E56" s="6" t="s">
        <v>737</v>
      </c>
      <c r="F56" s="6" t="s">
        <v>430</v>
      </c>
      <c r="G56" s="6" t="s">
        <v>443</v>
      </c>
      <c r="H56" s="6" t="s">
        <v>675</v>
      </c>
      <c r="I56" s="6" t="s">
        <v>738</v>
      </c>
      <c r="J56" s="6" t="s">
        <v>675</v>
      </c>
      <c r="K56" s="6" t="s">
        <v>730</v>
      </c>
      <c r="L56" s="6" t="s">
        <v>448</v>
      </c>
      <c r="M56" s="7" t="s">
        <v>485</v>
      </c>
      <c r="N56" s="7"/>
      <c r="O56" s="7"/>
      <c r="P56" s="7"/>
      <c r="Q56" s="6" t="s">
        <v>575</v>
      </c>
    </row>
    <row r="57" customFormat="false" ht="15" hidden="false" customHeight="false" outlineLevel="0" collapsed="false">
      <c r="A57" s="5" t="s">
        <v>739</v>
      </c>
      <c r="B57" s="6" t="s">
        <v>153</v>
      </c>
      <c r="C57" s="6" t="s">
        <v>173</v>
      </c>
      <c r="D57" s="6" t="s">
        <v>155</v>
      </c>
      <c r="E57" s="6" t="s">
        <v>740</v>
      </c>
      <c r="F57" s="6" t="s">
        <v>430</v>
      </c>
      <c r="G57" s="6" t="s">
        <v>443</v>
      </c>
      <c r="H57" s="6" t="s">
        <v>741</v>
      </c>
      <c r="I57" s="6" t="s">
        <v>742</v>
      </c>
      <c r="J57" s="6" t="s">
        <v>743</v>
      </c>
      <c r="K57" s="6" t="s">
        <v>744</v>
      </c>
      <c r="L57" s="6" t="s">
        <v>448</v>
      </c>
      <c r="M57" s="7" t="s">
        <v>449</v>
      </c>
      <c r="N57" s="7"/>
      <c r="O57" s="7"/>
      <c r="P57" s="7"/>
      <c r="Q57" s="6" t="s">
        <v>745</v>
      </c>
    </row>
    <row r="58" customFormat="false" ht="22.35" hidden="false" customHeight="false" outlineLevel="0" collapsed="false">
      <c r="A58" s="5" t="s">
        <v>746</v>
      </c>
      <c r="B58" s="6" t="s">
        <v>153</v>
      </c>
      <c r="C58" s="6" t="s">
        <v>747</v>
      </c>
      <c r="D58" s="6" t="s">
        <v>155</v>
      </c>
      <c r="E58" s="6" t="s">
        <v>748</v>
      </c>
      <c r="F58" s="6" t="s">
        <v>749</v>
      </c>
      <c r="G58" s="6" t="s">
        <v>443</v>
      </c>
      <c r="H58" s="6" t="s">
        <v>717</v>
      </c>
      <c r="I58" s="6" t="s">
        <v>750</v>
      </c>
      <c r="J58" s="6" t="s">
        <v>751</v>
      </c>
      <c r="K58" s="6" t="s">
        <v>752</v>
      </c>
      <c r="L58" s="6" t="s">
        <v>448</v>
      </c>
      <c r="M58" s="7" t="s">
        <v>449</v>
      </c>
      <c r="N58" s="7"/>
      <c r="O58" s="7"/>
      <c r="P58" s="7"/>
      <c r="Q58" s="6" t="s">
        <v>753</v>
      </c>
    </row>
    <row r="59" customFormat="false" ht="22.35" hidden="false" customHeight="false" outlineLevel="0" collapsed="false">
      <c r="A59" s="5" t="s">
        <v>754</v>
      </c>
      <c r="B59" s="6" t="s">
        <v>198</v>
      </c>
      <c r="C59" s="6" t="s">
        <v>191</v>
      </c>
      <c r="D59" s="6" t="s">
        <v>755</v>
      </c>
      <c r="E59" s="6" t="s">
        <v>756</v>
      </c>
      <c r="F59" s="6" t="s">
        <v>624</v>
      </c>
      <c r="G59" s="6" t="s">
        <v>420</v>
      </c>
      <c r="H59" s="6" t="s">
        <v>757</v>
      </c>
      <c r="I59" s="6" t="s">
        <v>758</v>
      </c>
      <c r="J59" s="6" t="s">
        <v>759</v>
      </c>
      <c r="K59" s="6" t="s">
        <v>760</v>
      </c>
      <c r="L59" s="6" t="s">
        <v>425</v>
      </c>
      <c r="M59" s="7" t="s">
        <v>426</v>
      </c>
      <c r="N59" s="7"/>
      <c r="O59" s="7"/>
      <c r="P59" s="7"/>
      <c r="Q59" s="6" t="s">
        <v>761</v>
      </c>
    </row>
    <row r="60" customFormat="false" ht="22.35" hidden="false" customHeight="false" outlineLevel="0" collapsed="false">
      <c r="A60" s="5" t="s">
        <v>762</v>
      </c>
      <c r="B60" s="6" t="s">
        <v>198</v>
      </c>
      <c r="C60" s="6" t="s">
        <v>191</v>
      </c>
      <c r="D60" s="6" t="s">
        <v>755</v>
      </c>
      <c r="E60" s="6" t="s">
        <v>763</v>
      </c>
      <c r="F60" s="6" t="s">
        <v>624</v>
      </c>
      <c r="G60" s="6" t="s">
        <v>443</v>
      </c>
      <c r="H60" s="6" t="s">
        <v>764</v>
      </c>
      <c r="I60" s="6" t="s">
        <v>765</v>
      </c>
      <c r="J60" s="6" t="s">
        <v>766</v>
      </c>
      <c r="K60" s="6" t="s">
        <v>767</v>
      </c>
      <c r="L60" s="6" t="s">
        <v>448</v>
      </c>
      <c r="M60" s="7" t="s">
        <v>449</v>
      </c>
      <c r="N60" s="7"/>
      <c r="O60" s="7"/>
      <c r="P60" s="7"/>
      <c r="Q60" s="6"/>
    </row>
    <row r="61" customFormat="false" ht="22.35" hidden="false" customHeight="false" outlineLevel="0" collapsed="false">
      <c r="A61" s="5" t="s">
        <v>768</v>
      </c>
      <c r="B61" s="6" t="s">
        <v>198</v>
      </c>
      <c r="C61" s="6" t="s">
        <v>191</v>
      </c>
      <c r="D61" s="6" t="s">
        <v>755</v>
      </c>
      <c r="E61" s="6" t="s">
        <v>769</v>
      </c>
      <c r="F61" s="6" t="s">
        <v>624</v>
      </c>
      <c r="G61" s="6" t="s">
        <v>474</v>
      </c>
      <c r="H61" s="6" t="s">
        <v>770</v>
      </c>
      <c r="I61" s="6" t="s">
        <v>771</v>
      </c>
      <c r="J61" s="6" t="s">
        <v>476</v>
      </c>
      <c r="K61" s="6" t="s">
        <v>772</v>
      </c>
      <c r="L61" s="6" t="s">
        <v>448</v>
      </c>
      <c r="M61" s="7" t="s">
        <v>449</v>
      </c>
      <c r="N61" s="7"/>
      <c r="O61" s="7"/>
      <c r="P61" s="7"/>
      <c r="Q61" s="6" t="s">
        <v>773</v>
      </c>
    </row>
    <row r="62" customFormat="false" ht="15" hidden="false" customHeight="false" outlineLevel="0" collapsed="false">
      <c r="A62" s="5" t="s">
        <v>774</v>
      </c>
      <c r="B62" s="6" t="s">
        <v>223</v>
      </c>
      <c r="C62" s="6" t="s">
        <v>191</v>
      </c>
      <c r="D62" s="6" t="s">
        <v>755</v>
      </c>
      <c r="E62" s="6" t="s">
        <v>775</v>
      </c>
      <c r="F62" s="6" t="s">
        <v>419</v>
      </c>
      <c r="G62" s="6" t="s">
        <v>443</v>
      </c>
      <c r="H62" s="6" t="s">
        <v>776</v>
      </c>
      <c r="I62" s="6" t="s">
        <v>777</v>
      </c>
      <c r="J62" s="6" t="s">
        <v>776</v>
      </c>
      <c r="K62" s="6" t="s">
        <v>778</v>
      </c>
      <c r="L62" s="6" t="s">
        <v>425</v>
      </c>
      <c r="M62" s="7" t="s">
        <v>426</v>
      </c>
      <c r="N62" s="7"/>
      <c r="O62" s="7"/>
      <c r="P62" s="7"/>
      <c r="Q62" s="6"/>
    </row>
    <row r="63" customFormat="false" ht="22.35" hidden="false" customHeight="false" outlineLevel="0" collapsed="false">
      <c r="A63" s="5" t="s">
        <v>779</v>
      </c>
      <c r="B63" s="6" t="s">
        <v>223</v>
      </c>
      <c r="C63" s="6" t="s">
        <v>191</v>
      </c>
      <c r="D63" s="6" t="s">
        <v>755</v>
      </c>
      <c r="E63" s="6" t="s">
        <v>780</v>
      </c>
      <c r="F63" s="6" t="s">
        <v>480</v>
      </c>
      <c r="G63" s="6" t="s">
        <v>420</v>
      </c>
      <c r="H63" s="6" t="s">
        <v>675</v>
      </c>
      <c r="I63" s="6" t="s">
        <v>781</v>
      </c>
      <c r="J63" s="6" t="s">
        <v>675</v>
      </c>
      <c r="K63" s="6" t="s">
        <v>730</v>
      </c>
      <c r="L63" s="6" t="s">
        <v>425</v>
      </c>
      <c r="M63" s="7" t="s">
        <v>485</v>
      </c>
      <c r="N63" s="7"/>
      <c r="O63" s="7"/>
      <c r="P63" s="7"/>
      <c r="Q63" s="6" t="s">
        <v>588</v>
      </c>
    </row>
    <row r="64" customFormat="false" ht="15" hidden="false" customHeight="false" outlineLevel="0" collapsed="false">
      <c r="A64" s="5" t="s">
        <v>782</v>
      </c>
      <c r="B64" s="6" t="s">
        <v>223</v>
      </c>
      <c r="C64" s="6" t="s">
        <v>191</v>
      </c>
      <c r="D64" s="6" t="s">
        <v>755</v>
      </c>
      <c r="E64" s="6" t="s">
        <v>783</v>
      </c>
      <c r="F64" s="6" t="s">
        <v>430</v>
      </c>
      <c r="G64" s="6" t="s">
        <v>443</v>
      </c>
      <c r="H64" s="6" t="s">
        <v>776</v>
      </c>
      <c r="I64" s="6" t="s">
        <v>784</v>
      </c>
      <c r="J64" s="6" t="s">
        <v>785</v>
      </c>
      <c r="K64" s="6" t="s">
        <v>708</v>
      </c>
      <c r="L64" s="6" t="s">
        <v>448</v>
      </c>
      <c r="M64" s="7" t="s">
        <v>449</v>
      </c>
      <c r="N64" s="7"/>
      <c r="O64" s="7"/>
      <c r="P64" s="7"/>
      <c r="Q64" s="6"/>
    </row>
    <row r="65" customFormat="false" ht="15" hidden="false" customHeight="false" outlineLevel="0" collapsed="false">
      <c r="A65" s="5" t="s">
        <v>786</v>
      </c>
      <c r="B65" s="6" t="s">
        <v>223</v>
      </c>
      <c r="C65" s="6" t="s">
        <v>191</v>
      </c>
      <c r="D65" s="6" t="s">
        <v>755</v>
      </c>
      <c r="E65" s="6" t="s">
        <v>787</v>
      </c>
      <c r="F65" s="6" t="s">
        <v>430</v>
      </c>
      <c r="G65" s="6" t="s">
        <v>443</v>
      </c>
      <c r="H65" s="6" t="s">
        <v>788</v>
      </c>
      <c r="I65" s="6" t="s">
        <v>789</v>
      </c>
      <c r="J65" s="6" t="s">
        <v>476</v>
      </c>
      <c r="K65" s="6" t="s">
        <v>790</v>
      </c>
      <c r="L65" s="6" t="s">
        <v>448</v>
      </c>
      <c r="M65" s="7" t="s">
        <v>449</v>
      </c>
      <c r="N65" s="7"/>
      <c r="O65" s="7"/>
      <c r="P65" s="7"/>
      <c r="Q65" s="6" t="s">
        <v>791</v>
      </c>
    </row>
    <row r="66" customFormat="false" ht="15" hidden="false" customHeight="false" outlineLevel="0" collapsed="false">
      <c r="A66" s="5" t="s">
        <v>792</v>
      </c>
      <c r="B66" s="6" t="s">
        <v>223</v>
      </c>
      <c r="C66" s="6" t="s">
        <v>191</v>
      </c>
      <c r="D66" s="6" t="s">
        <v>755</v>
      </c>
      <c r="E66" s="6" t="s">
        <v>793</v>
      </c>
      <c r="F66" s="6" t="s">
        <v>480</v>
      </c>
      <c r="G66" s="6" t="s">
        <v>443</v>
      </c>
      <c r="H66" s="6" t="s">
        <v>776</v>
      </c>
      <c r="I66" s="6" t="s">
        <v>794</v>
      </c>
      <c r="J66" s="6" t="s">
        <v>476</v>
      </c>
      <c r="K66" s="6" t="s">
        <v>730</v>
      </c>
      <c r="L66" s="6" t="s">
        <v>448</v>
      </c>
      <c r="M66" s="7" t="s">
        <v>485</v>
      </c>
      <c r="N66" s="7"/>
      <c r="O66" s="7"/>
      <c r="P66" s="7"/>
      <c r="Q66" s="6"/>
    </row>
    <row r="67" customFormat="false" ht="22.35" hidden="false" customHeight="false" outlineLevel="0" collapsed="false">
      <c r="A67" s="5" t="s">
        <v>795</v>
      </c>
      <c r="B67" s="6" t="s">
        <v>232</v>
      </c>
      <c r="C67" s="6" t="s">
        <v>235</v>
      </c>
      <c r="D67" s="6" t="s">
        <v>234</v>
      </c>
      <c r="E67" s="6" t="s">
        <v>796</v>
      </c>
      <c r="F67" s="6" t="s">
        <v>419</v>
      </c>
      <c r="G67" s="6" t="s">
        <v>420</v>
      </c>
      <c r="H67" s="6" t="s">
        <v>684</v>
      </c>
      <c r="I67" s="6" t="s">
        <v>797</v>
      </c>
      <c r="J67" s="6" t="s">
        <v>702</v>
      </c>
      <c r="K67" s="6" t="s">
        <v>798</v>
      </c>
      <c r="L67" s="6" t="s">
        <v>501</v>
      </c>
      <c r="M67" s="7" t="s">
        <v>449</v>
      </c>
      <c r="N67" s="7"/>
      <c r="O67" s="7"/>
      <c r="P67" s="7"/>
      <c r="Q67" s="6" t="s">
        <v>799</v>
      </c>
    </row>
    <row r="68" customFormat="false" ht="22.35" hidden="false" customHeight="false" outlineLevel="0" collapsed="false">
      <c r="A68" s="5" t="s">
        <v>800</v>
      </c>
      <c r="B68" s="6" t="s">
        <v>242</v>
      </c>
      <c r="C68" s="6" t="s">
        <v>235</v>
      </c>
      <c r="D68" s="6" t="s">
        <v>234</v>
      </c>
      <c r="E68" s="6" t="s">
        <v>801</v>
      </c>
      <c r="F68" s="6" t="s">
        <v>419</v>
      </c>
      <c r="G68" s="6" t="s">
        <v>420</v>
      </c>
      <c r="H68" s="6" t="s">
        <v>802</v>
      </c>
      <c r="I68" s="6" t="s">
        <v>803</v>
      </c>
      <c r="J68" s="6" t="s">
        <v>802</v>
      </c>
      <c r="K68" s="6" t="s">
        <v>804</v>
      </c>
      <c r="L68" s="6" t="s">
        <v>425</v>
      </c>
      <c r="M68" s="7" t="s">
        <v>426</v>
      </c>
      <c r="N68" s="7"/>
      <c r="O68" s="7"/>
      <c r="P68" s="7"/>
      <c r="Q68" s="6" t="s">
        <v>805</v>
      </c>
    </row>
    <row r="69" customFormat="false" ht="22.35" hidden="false" customHeight="false" outlineLevel="0" collapsed="false">
      <c r="A69" s="5" t="s">
        <v>806</v>
      </c>
      <c r="B69" s="6" t="s">
        <v>242</v>
      </c>
      <c r="C69" s="6" t="s">
        <v>235</v>
      </c>
      <c r="D69" s="6" t="s">
        <v>234</v>
      </c>
      <c r="E69" s="6" t="s">
        <v>807</v>
      </c>
      <c r="F69" s="6" t="s">
        <v>419</v>
      </c>
      <c r="G69" s="6" t="s">
        <v>420</v>
      </c>
      <c r="H69" s="6" t="s">
        <v>808</v>
      </c>
      <c r="I69" s="6" t="s">
        <v>809</v>
      </c>
      <c r="J69" s="6" t="s">
        <v>802</v>
      </c>
      <c r="K69" s="6" t="s">
        <v>810</v>
      </c>
      <c r="L69" s="6" t="s">
        <v>501</v>
      </c>
      <c r="M69" s="7" t="s">
        <v>449</v>
      </c>
      <c r="N69" s="7"/>
      <c r="O69" s="7"/>
      <c r="P69" s="7"/>
      <c r="Q69" s="6" t="s">
        <v>811</v>
      </c>
    </row>
    <row r="70" customFormat="false" ht="15" hidden="false" customHeight="false" outlineLevel="0" collapsed="false">
      <c r="A70" s="5" t="s">
        <v>812</v>
      </c>
      <c r="B70" s="6" t="s">
        <v>232</v>
      </c>
      <c r="C70" s="6" t="s">
        <v>235</v>
      </c>
      <c r="D70" s="6" t="s">
        <v>234</v>
      </c>
      <c r="E70" s="6" t="s">
        <v>813</v>
      </c>
      <c r="F70" s="6" t="s">
        <v>430</v>
      </c>
      <c r="G70" s="6" t="s">
        <v>420</v>
      </c>
      <c r="H70" s="6" t="s">
        <v>814</v>
      </c>
      <c r="I70" s="6" t="s">
        <v>815</v>
      </c>
      <c r="J70" s="6" t="s">
        <v>476</v>
      </c>
      <c r="K70" s="6" t="s">
        <v>790</v>
      </c>
      <c r="L70" s="6" t="s">
        <v>448</v>
      </c>
      <c r="M70" s="7" t="s">
        <v>449</v>
      </c>
      <c r="N70" s="7"/>
      <c r="O70" s="7"/>
      <c r="P70" s="7"/>
      <c r="Q70" s="6"/>
    </row>
    <row r="71" customFormat="false" ht="15" hidden="false" customHeight="false" outlineLevel="0" collapsed="false">
      <c r="A71" s="5" t="s">
        <v>816</v>
      </c>
      <c r="B71" s="6" t="s">
        <v>232</v>
      </c>
      <c r="C71" s="6" t="s">
        <v>235</v>
      </c>
      <c r="D71" s="6" t="s">
        <v>234</v>
      </c>
      <c r="E71" s="6" t="s">
        <v>817</v>
      </c>
      <c r="F71" s="6" t="s">
        <v>430</v>
      </c>
      <c r="G71" s="6" t="s">
        <v>443</v>
      </c>
      <c r="H71" s="6" t="s">
        <v>675</v>
      </c>
      <c r="I71" s="6" t="s">
        <v>818</v>
      </c>
      <c r="J71" s="6" t="s">
        <v>476</v>
      </c>
      <c r="K71" s="6" t="s">
        <v>819</v>
      </c>
      <c r="L71" s="6" t="s">
        <v>448</v>
      </c>
      <c r="M71" s="7" t="s">
        <v>449</v>
      </c>
      <c r="N71" s="7"/>
      <c r="O71" s="7"/>
      <c r="P71" s="7"/>
      <c r="Q71" s="6"/>
    </row>
    <row r="72" customFormat="false" ht="15" hidden="false" customHeight="false" outlineLevel="0" collapsed="false">
      <c r="A72" s="5" t="s">
        <v>820</v>
      </c>
      <c r="B72" s="6" t="s">
        <v>232</v>
      </c>
      <c r="C72" s="6" t="s">
        <v>235</v>
      </c>
      <c r="D72" s="6" t="s">
        <v>234</v>
      </c>
      <c r="E72" s="6" t="s">
        <v>821</v>
      </c>
      <c r="F72" s="6" t="s">
        <v>430</v>
      </c>
      <c r="G72" s="6" t="s">
        <v>443</v>
      </c>
      <c r="H72" s="6" t="s">
        <v>684</v>
      </c>
      <c r="I72" s="6" t="s">
        <v>822</v>
      </c>
      <c r="J72" s="6" t="s">
        <v>476</v>
      </c>
      <c r="K72" s="6" t="s">
        <v>823</v>
      </c>
      <c r="L72" s="6" t="s">
        <v>448</v>
      </c>
      <c r="M72" s="7" t="s">
        <v>449</v>
      </c>
      <c r="N72" s="7"/>
      <c r="O72" s="7"/>
      <c r="P72" s="7"/>
      <c r="Q72" s="6"/>
    </row>
    <row r="73" customFormat="false" ht="22.35" hidden="false" customHeight="false" outlineLevel="0" collapsed="false">
      <c r="A73" s="5" t="s">
        <v>824</v>
      </c>
      <c r="B73" s="6" t="s">
        <v>242</v>
      </c>
      <c r="C73" s="6" t="s">
        <v>235</v>
      </c>
      <c r="D73" s="6" t="s">
        <v>234</v>
      </c>
      <c r="E73" s="6" t="s">
        <v>825</v>
      </c>
      <c r="F73" s="6" t="s">
        <v>419</v>
      </c>
      <c r="G73" s="6" t="s">
        <v>420</v>
      </c>
      <c r="H73" s="6" t="s">
        <v>826</v>
      </c>
      <c r="I73" s="6" t="s">
        <v>827</v>
      </c>
      <c r="J73" s="6" t="s">
        <v>476</v>
      </c>
      <c r="K73" s="6" t="s">
        <v>828</v>
      </c>
      <c r="L73" s="6" t="s">
        <v>448</v>
      </c>
      <c r="M73" s="7" t="s">
        <v>449</v>
      </c>
      <c r="N73" s="7"/>
      <c r="O73" s="7"/>
      <c r="P73" s="7"/>
      <c r="Q73" s="6" t="s">
        <v>829</v>
      </c>
    </row>
    <row r="74" customFormat="false" ht="15" hidden="false" customHeight="false" outlineLevel="0" collapsed="false">
      <c r="A74" s="5" t="s">
        <v>830</v>
      </c>
      <c r="B74" s="6" t="s">
        <v>242</v>
      </c>
      <c r="C74" s="6" t="s">
        <v>235</v>
      </c>
      <c r="D74" s="6" t="s">
        <v>234</v>
      </c>
      <c r="E74" s="6" t="s">
        <v>831</v>
      </c>
      <c r="F74" s="6" t="s">
        <v>624</v>
      </c>
      <c r="G74" s="6" t="s">
        <v>420</v>
      </c>
      <c r="H74" s="6" t="s">
        <v>801</v>
      </c>
      <c r="I74" s="6" t="s">
        <v>832</v>
      </c>
      <c r="J74" s="6" t="s">
        <v>833</v>
      </c>
      <c r="K74" s="6" t="s">
        <v>834</v>
      </c>
      <c r="L74" s="6" t="s">
        <v>448</v>
      </c>
      <c r="M74" s="7" t="s">
        <v>449</v>
      </c>
      <c r="N74" s="7"/>
      <c r="O74" s="7"/>
      <c r="P74" s="7"/>
      <c r="Q74" s="6"/>
    </row>
    <row r="75" customFormat="false" ht="22.35" hidden="false" customHeight="false" outlineLevel="0" collapsed="false">
      <c r="A75" s="5" t="s">
        <v>835</v>
      </c>
      <c r="B75" s="6" t="s">
        <v>232</v>
      </c>
      <c r="C75" s="6" t="s">
        <v>235</v>
      </c>
      <c r="D75" s="6" t="s">
        <v>234</v>
      </c>
      <c r="E75" s="6" t="s">
        <v>836</v>
      </c>
      <c r="F75" s="6" t="s">
        <v>419</v>
      </c>
      <c r="G75" s="6" t="s">
        <v>443</v>
      </c>
      <c r="H75" s="6" t="s">
        <v>776</v>
      </c>
      <c r="I75" s="6" t="s">
        <v>837</v>
      </c>
      <c r="J75" s="6" t="s">
        <v>476</v>
      </c>
      <c r="K75" s="6" t="s">
        <v>838</v>
      </c>
      <c r="L75" s="6" t="s">
        <v>448</v>
      </c>
      <c r="M75" s="7" t="s">
        <v>449</v>
      </c>
      <c r="N75" s="7"/>
      <c r="O75" s="7"/>
      <c r="P75" s="7"/>
      <c r="Q75" s="6" t="s">
        <v>839</v>
      </c>
    </row>
    <row r="76" customFormat="false" ht="15" hidden="false" customHeight="false" outlineLevel="0" collapsed="false">
      <c r="A76" s="5" t="s">
        <v>840</v>
      </c>
      <c r="B76" s="6" t="s">
        <v>143</v>
      </c>
      <c r="C76" s="6" t="s">
        <v>146</v>
      </c>
      <c r="D76" s="6" t="s">
        <v>145</v>
      </c>
      <c r="E76" s="6" t="s">
        <v>841</v>
      </c>
      <c r="F76" s="6" t="s">
        <v>419</v>
      </c>
      <c r="G76" s="6" t="s">
        <v>443</v>
      </c>
      <c r="H76" s="6" t="s">
        <v>842</v>
      </c>
      <c r="I76" s="6" t="s">
        <v>843</v>
      </c>
      <c r="J76" s="6" t="s">
        <v>759</v>
      </c>
      <c r="K76" s="6" t="s">
        <v>844</v>
      </c>
      <c r="L76" s="6" t="s">
        <v>425</v>
      </c>
      <c r="M76" s="7" t="s">
        <v>426</v>
      </c>
      <c r="N76" s="7"/>
      <c r="O76" s="7"/>
      <c r="P76" s="7"/>
      <c r="Q76" s="6"/>
    </row>
    <row r="77" customFormat="false" ht="15" hidden="false" customHeight="false" outlineLevel="0" collapsed="false">
      <c r="A77" s="5" t="s">
        <v>845</v>
      </c>
      <c r="B77" s="6" t="s">
        <v>143</v>
      </c>
      <c r="C77" s="6" t="s">
        <v>146</v>
      </c>
      <c r="D77" s="6" t="s">
        <v>145</v>
      </c>
      <c r="E77" s="6" t="s">
        <v>846</v>
      </c>
      <c r="F77" s="6" t="s">
        <v>419</v>
      </c>
      <c r="G77" s="6" t="s">
        <v>443</v>
      </c>
      <c r="H77" s="6" t="s">
        <v>847</v>
      </c>
      <c r="I77" s="6" t="s">
        <v>848</v>
      </c>
      <c r="J77" s="6" t="s">
        <v>476</v>
      </c>
      <c r="K77" s="6" t="s">
        <v>849</v>
      </c>
      <c r="L77" s="6" t="s">
        <v>448</v>
      </c>
      <c r="M77" s="7" t="s">
        <v>449</v>
      </c>
      <c r="N77" s="7"/>
      <c r="O77" s="7"/>
      <c r="P77" s="7"/>
      <c r="Q77" s="6"/>
    </row>
    <row r="78" customFormat="false" ht="22.35" hidden="false" customHeight="false" outlineLevel="0" collapsed="false">
      <c r="A78" s="5" t="s">
        <v>850</v>
      </c>
      <c r="B78" s="6" t="s">
        <v>249</v>
      </c>
      <c r="C78" s="6" t="s">
        <v>252</v>
      </c>
      <c r="D78" s="6" t="s">
        <v>251</v>
      </c>
      <c r="E78" s="6" t="s">
        <v>851</v>
      </c>
      <c r="F78" s="6" t="s">
        <v>852</v>
      </c>
      <c r="G78" s="6" t="s">
        <v>420</v>
      </c>
      <c r="H78" s="6" t="s">
        <v>853</v>
      </c>
      <c r="I78" s="6" t="s">
        <v>854</v>
      </c>
      <c r="J78" s="6" t="s">
        <v>853</v>
      </c>
      <c r="K78" s="6" t="s">
        <v>855</v>
      </c>
      <c r="L78" s="6" t="s">
        <v>425</v>
      </c>
      <c r="M78" s="7" t="s">
        <v>426</v>
      </c>
      <c r="N78" s="7"/>
      <c r="O78" s="7"/>
      <c r="P78" s="7"/>
      <c r="Q78" s="6"/>
    </row>
    <row r="79" customFormat="false" ht="15" hidden="false" customHeight="false" outlineLevel="0" collapsed="false">
      <c r="A79" s="5" t="s">
        <v>856</v>
      </c>
      <c r="B79" s="6" t="s">
        <v>249</v>
      </c>
      <c r="C79" s="6" t="s">
        <v>252</v>
      </c>
      <c r="D79" s="6" t="s">
        <v>251</v>
      </c>
      <c r="E79" s="6" t="s">
        <v>857</v>
      </c>
      <c r="F79" s="6" t="s">
        <v>852</v>
      </c>
      <c r="G79" s="6" t="s">
        <v>420</v>
      </c>
      <c r="H79" s="6" t="s">
        <v>858</v>
      </c>
      <c r="I79" s="6" t="s">
        <v>859</v>
      </c>
      <c r="J79" s="6" t="s">
        <v>476</v>
      </c>
      <c r="K79" s="6" t="s">
        <v>860</v>
      </c>
      <c r="L79" s="6" t="s">
        <v>425</v>
      </c>
      <c r="M79" s="7" t="s">
        <v>426</v>
      </c>
      <c r="N79" s="7"/>
      <c r="O79" s="7"/>
      <c r="P79" s="7"/>
      <c r="Q79" s="6"/>
    </row>
    <row r="80" customFormat="false" ht="22.35" hidden="false" customHeight="false" outlineLevel="0" collapsed="false">
      <c r="A80" s="5" t="s">
        <v>861</v>
      </c>
      <c r="B80" s="6" t="s">
        <v>249</v>
      </c>
      <c r="C80" s="6" t="s">
        <v>252</v>
      </c>
      <c r="D80" s="6" t="s">
        <v>251</v>
      </c>
      <c r="E80" s="6" t="s">
        <v>862</v>
      </c>
      <c r="F80" s="6" t="s">
        <v>852</v>
      </c>
      <c r="G80" s="6" t="s">
        <v>443</v>
      </c>
      <c r="H80" s="6" t="s">
        <v>863</v>
      </c>
      <c r="I80" s="6" t="s">
        <v>864</v>
      </c>
      <c r="J80" s="6" t="s">
        <v>476</v>
      </c>
      <c r="K80" s="6" t="s">
        <v>865</v>
      </c>
      <c r="L80" s="6" t="s">
        <v>448</v>
      </c>
      <c r="M80" s="7" t="s">
        <v>449</v>
      </c>
      <c r="N80" s="7"/>
      <c r="O80" s="7"/>
      <c r="P80" s="7"/>
      <c r="Q80" s="6" t="s">
        <v>866</v>
      </c>
    </row>
    <row r="81" customFormat="false" ht="15" hidden="false" customHeight="false" outlineLevel="0" collapsed="false">
      <c r="A81" s="5" t="s">
        <v>867</v>
      </c>
      <c r="B81" s="6" t="s">
        <v>249</v>
      </c>
      <c r="C81" s="6" t="s">
        <v>252</v>
      </c>
      <c r="D81" s="6" t="s">
        <v>251</v>
      </c>
      <c r="E81" s="6" t="s">
        <v>868</v>
      </c>
      <c r="F81" s="6" t="s">
        <v>852</v>
      </c>
      <c r="G81" s="6" t="s">
        <v>420</v>
      </c>
      <c r="H81" s="6" t="s">
        <v>869</v>
      </c>
      <c r="I81" s="6" t="s">
        <v>870</v>
      </c>
      <c r="J81" s="6" t="s">
        <v>476</v>
      </c>
      <c r="K81" s="6" t="s">
        <v>871</v>
      </c>
      <c r="L81" s="6" t="s">
        <v>448</v>
      </c>
      <c r="M81" s="7" t="s">
        <v>449</v>
      </c>
      <c r="N81" s="7"/>
      <c r="O81" s="7"/>
      <c r="P81" s="7"/>
      <c r="Q81" s="6"/>
    </row>
    <row r="82" customFormat="false" ht="15" hidden="false" customHeight="false" outlineLevel="0" collapsed="false">
      <c r="A82" s="5" t="s">
        <v>872</v>
      </c>
      <c r="B82" s="6" t="s">
        <v>134</v>
      </c>
      <c r="C82" s="6" t="s">
        <v>252</v>
      </c>
      <c r="D82" s="6" t="s">
        <v>251</v>
      </c>
      <c r="E82" s="6" t="s">
        <v>873</v>
      </c>
      <c r="F82" s="6" t="s">
        <v>559</v>
      </c>
      <c r="G82" s="6" t="s">
        <v>474</v>
      </c>
      <c r="H82" s="6" t="s">
        <v>607</v>
      </c>
      <c r="I82" s="6" t="s">
        <v>874</v>
      </c>
      <c r="J82" s="6" t="s">
        <v>476</v>
      </c>
      <c r="K82" s="6" t="s">
        <v>875</v>
      </c>
      <c r="L82" s="6" t="s">
        <v>448</v>
      </c>
      <c r="M82" s="7" t="s">
        <v>449</v>
      </c>
      <c r="N82" s="7"/>
      <c r="O82" s="7"/>
      <c r="P82" s="7"/>
      <c r="Q82" s="6" t="s">
        <v>876</v>
      </c>
    </row>
    <row r="83" customFormat="false" ht="15" hidden="false" customHeight="false" outlineLevel="0" collapsed="false">
      <c r="A83" s="5" t="s">
        <v>877</v>
      </c>
      <c r="B83" s="6" t="s">
        <v>249</v>
      </c>
      <c r="C83" s="6" t="s">
        <v>252</v>
      </c>
      <c r="D83" s="6" t="s">
        <v>251</v>
      </c>
      <c r="E83" s="6" t="s">
        <v>878</v>
      </c>
      <c r="F83" s="6" t="s">
        <v>879</v>
      </c>
      <c r="G83" s="6" t="s">
        <v>420</v>
      </c>
      <c r="H83" s="6" t="s">
        <v>880</v>
      </c>
      <c r="I83" s="6" t="s">
        <v>881</v>
      </c>
      <c r="J83" s="6" t="s">
        <v>759</v>
      </c>
      <c r="K83" s="6" t="s">
        <v>882</v>
      </c>
      <c r="L83" s="6" t="s">
        <v>425</v>
      </c>
      <c r="M83" s="7" t="s">
        <v>449</v>
      </c>
      <c r="N83" s="7"/>
      <c r="O83" s="7"/>
      <c r="P83" s="7"/>
      <c r="Q83" s="6"/>
    </row>
    <row r="84" customFormat="false" ht="15" hidden="false" customHeight="false" outlineLevel="0" collapsed="false">
      <c r="A84" s="5" t="s">
        <v>883</v>
      </c>
      <c r="B84" s="6" t="s">
        <v>249</v>
      </c>
      <c r="C84" s="6" t="s">
        <v>252</v>
      </c>
      <c r="D84" s="6" t="s">
        <v>251</v>
      </c>
      <c r="E84" s="6" t="s">
        <v>884</v>
      </c>
      <c r="F84" s="6" t="s">
        <v>852</v>
      </c>
      <c r="G84" s="6" t="s">
        <v>420</v>
      </c>
      <c r="H84" s="6" t="s">
        <v>885</v>
      </c>
      <c r="I84" s="6" t="s">
        <v>870</v>
      </c>
      <c r="J84" s="6" t="s">
        <v>886</v>
      </c>
      <c r="K84" s="6" t="s">
        <v>887</v>
      </c>
      <c r="L84" s="6" t="s">
        <v>425</v>
      </c>
      <c r="M84" s="7" t="s">
        <v>449</v>
      </c>
      <c r="N84" s="7"/>
      <c r="O84" s="7"/>
      <c r="P84" s="7"/>
      <c r="Q84" s="6"/>
    </row>
    <row r="85" customFormat="false" ht="22.35" hidden="false" customHeight="false" outlineLevel="0" collapsed="false">
      <c r="A85" s="5" t="s">
        <v>888</v>
      </c>
      <c r="B85" s="6" t="s">
        <v>259</v>
      </c>
      <c r="C85" s="6" t="s">
        <v>263</v>
      </c>
      <c r="D85" s="6" t="s">
        <v>251</v>
      </c>
      <c r="E85" s="6" t="s">
        <v>889</v>
      </c>
      <c r="F85" s="6" t="s">
        <v>624</v>
      </c>
      <c r="G85" s="6" t="s">
        <v>420</v>
      </c>
      <c r="H85" s="6" t="s">
        <v>890</v>
      </c>
      <c r="I85" s="6" t="s">
        <v>891</v>
      </c>
      <c r="J85" s="6" t="s">
        <v>892</v>
      </c>
      <c r="K85" s="6" t="s">
        <v>893</v>
      </c>
      <c r="L85" s="6" t="s">
        <v>425</v>
      </c>
      <c r="M85" s="7" t="s">
        <v>449</v>
      </c>
      <c r="N85" s="7"/>
      <c r="O85" s="7"/>
      <c r="P85" s="7"/>
      <c r="Q85" s="6"/>
    </row>
    <row r="86" customFormat="false" ht="15" hidden="false" customHeight="false" outlineLevel="0" collapsed="false">
      <c r="A86" s="5" t="s">
        <v>894</v>
      </c>
      <c r="B86" s="6" t="s">
        <v>249</v>
      </c>
      <c r="C86" s="6" t="s">
        <v>252</v>
      </c>
      <c r="D86" s="6" t="s">
        <v>251</v>
      </c>
      <c r="E86" s="6" t="s">
        <v>895</v>
      </c>
      <c r="F86" s="6" t="s">
        <v>505</v>
      </c>
      <c r="G86" s="6" t="s">
        <v>443</v>
      </c>
      <c r="H86" s="6" t="s">
        <v>896</v>
      </c>
      <c r="I86" s="6" t="s">
        <v>897</v>
      </c>
      <c r="J86" s="6" t="s">
        <v>476</v>
      </c>
      <c r="K86" s="6" t="s">
        <v>898</v>
      </c>
      <c r="L86" s="6" t="s">
        <v>448</v>
      </c>
      <c r="M86" s="7" t="s">
        <v>449</v>
      </c>
      <c r="N86" s="7"/>
      <c r="O86" s="7"/>
      <c r="P86" s="7"/>
      <c r="Q86" s="6"/>
    </row>
    <row r="87" customFormat="false" ht="15" hidden="false" customHeight="false" outlineLevel="0" collapsed="false">
      <c r="A87" s="5" t="s">
        <v>899</v>
      </c>
      <c r="B87" s="6" t="s">
        <v>249</v>
      </c>
      <c r="C87" s="6" t="s">
        <v>252</v>
      </c>
      <c r="D87" s="6" t="s">
        <v>251</v>
      </c>
      <c r="E87" s="6" t="s">
        <v>900</v>
      </c>
      <c r="F87" s="6" t="s">
        <v>852</v>
      </c>
      <c r="G87" s="6" t="s">
        <v>443</v>
      </c>
      <c r="H87" s="6" t="s">
        <v>901</v>
      </c>
      <c r="I87" s="6" t="s">
        <v>902</v>
      </c>
      <c r="J87" s="6" t="s">
        <v>476</v>
      </c>
      <c r="K87" s="6" t="s">
        <v>903</v>
      </c>
      <c r="L87" s="6" t="s">
        <v>448</v>
      </c>
      <c r="M87" s="7" t="s">
        <v>449</v>
      </c>
      <c r="N87" s="7"/>
      <c r="O87" s="7"/>
      <c r="P87" s="7"/>
      <c r="Q87" s="6"/>
    </row>
    <row r="88" customFormat="false" ht="22.35" hidden="false" customHeight="false" outlineLevel="0" collapsed="false">
      <c r="A88" s="5" t="s">
        <v>904</v>
      </c>
      <c r="B88" s="6" t="s">
        <v>259</v>
      </c>
      <c r="C88" s="6" t="s">
        <v>263</v>
      </c>
      <c r="D88" s="6" t="s">
        <v>251</v>
      </c>
      <c r="E88" s="6" t="s">
        <v>905</v>
      </c>
      <c r="F88" s="6" t="s">
        <v>852</v>
      </c>
      <c r="G88" s="6" t="s">
        <v>443</v>
      </c>
      <c r="H88" s="6" t="s">
        <v>906</v>
      </c>
      <c r="I88" s="6" t="s">
        <v>870</v>
      </c>
      <c r="J88" s="6" t="s">
        <v>476</v>
      </c>
      <c r="K88" s="6" t="s">
        <v>907</v>
      </c>
      <c r="L88" s="6" t="s">
        <v>448</v>
      </c>
      <c r="M88" s="7" t="s">
        <v>449</v>
      </c>
      <c r="N88" s="7"/>
      <c r="O88" s="7"/>
      <c r="P88" s="7"/>
      <c r="Q88" s="6"/>
    </row>
    <row r="89" customFormat="false" ht="22.35" hidden="false" customHeight="false" outlineLevel="0" collapsed="false">
      <c r="A89" s="5" t="s">
        <v>908</v>
      </c>
      <c r="B89" s="6" t="s">
        <v>270</v>
      </c>
      <c r="C89" s="6" t="s">
        <v>273</v>
      </c>
      <c r="D89" s="6" t="s">
        <v>909</v>
      </c>
      <c r="E89" s="6" t="s">
        <v>910</v>
      </c>
      <c r="F89" s="6" t="s">
        <v>419</v>
      </c>
      <c r="G89" s="6" t="s">
        <v>474</v>
      </c>
      <c r="H89" s="6" t="s">
        <v>911</v>
      </c>
      <c r="I89" s="6" t="s">
        <v>912</v>
      </c>
      <c r="J89" s="6" t="s">
        <v>759</v>
      </c>
      <c r="K89" s="6" t="s">
        <v>913</v>
      </c>
      <c r="L89" s="6" t="s">
        <v>425</v>
      </c>
      <c r="M89" s="7" t="s">
        <v>449</v>
      </c>
      <c r="N89" s="7"/>
      <c r="O89" s="7"/>
      <c r="P89" s="7"/>
      <c r="Q89" s="6"/>
    </row>
    <row r="90" customFormat="false" ht="22.35" hidden="false" customHeight="false" outlineLevel="0" collapsed="false">
      <c r="A90" s="5" t="s">
        <v>914</v>
      </c>
      <c r="B90" s="6" t="s">
        <v>270</v>
      </c>
      <c r="C90" s="6" t="s">
        <v>273</v>
      </c>
      <c r="D90" s="6" t="s">
        <v>909</v>
      </c>
      <c r="E90" s="6" t="s">
        <v>915</v>
      </c>
      <c r="F90" s="6" t="s">
        <v>559</v>
      </c>
      <c r="G90" s="6" t="s">
        <v>474</v>
      </c>
      <c r="H90" s="6" t="s">
        <v>916</v>
      </c>
      <c r="I90" s="6" t="s">
        <v>917</v>
      </c>
      <c r="J90" s="6" t="s">
        <v>476</v>
      </c>
      <c r="K90" s="6" t="s">
        <v>918</v>
      </c>
      <c r="L90" s="6" t="s">
        <v>448</v>
      </c>
      <c r="M90" s="7" t="s">
        <v>449</v>
      </c>
      <c r="N90" s="7"/>
      <c r="O90" s="7"/>
      <c r="P90" s="7"/>
      <c r="Q90" s="6"/>
    </row>
    <row r="91" customFormat="false" ht="22.35" hidden="false" customHeight="false" outlineLevel="0" collapsed="false">
      <c r="A91" s="5" t="s">
        <v>919</v>
      </c>
      <c r="B91" s="6" t="s">
        <v>106</v>
      </c>
      <c r="C91" s="6" t="s">
        <v>109</v>
      </c>
      <c r="D91" s="6" t="s">
        <v>909</v>
      </c>
      <c r="E91" s="6" t="s">
        <v>920</v>
      </c>
      <c r="F91" s="6" t="s">
        <v>419</v>
      </c>
      <c r="G91" s="6" t="s">
        <v>443</v>
      </c>
      <c r="H91" s="6" t="s">
        <v>921</v>
      </c>
      <c r="I91" s="6" t="s">
        <v>922</v>
      </c>
      <c r="J91" s="6" t="s">
        <v>923</v>
      </c>
      <c r="K91" s="6" t="s">
        <v>924</v>
      </c>
      <c r="L91" s="6" t="s">
        <v>448</v>
      </c>
      <c r="M91" s="7" t="s">
        <v>449</v>
      </c>
      <c r="N91" s="7"/>
      <c r="O91" s="7"/>
      <c r="P91" s="7"/>
      <c r="Q91" s="6"/>
    </row>
    <row r="92" customFormat="false" ht="22.35" hidden="false" customHeight="false" outlineLevel="0" collapsed="false">
      <c r="A92" s="5" t="s">
        <v>925</v>
      </c>
      <c r="B92" s="6" t="s">
        <v>106</v>
      </c>
      <c r="C92" s="6" t="s">
        <v>109</v>
      </c>
      <c r="D92" s="6" t="s">
        <v>909</v>
      </c>
      <c r="E92" s="6" t="s">
        <v>926</v>
      </c>
      <c r="F92" s="6" t="s">
        <v>419</v>
      </c>
      <c r="G92" s="6" t="s">
        <v>443</v>
      </c>
      <c r="H92" s="6" t="s">
        <v>927</v>
      </c>
      <c r="I92" s="6" t="s">
        <v>922</v>
      </c>
      <c r="J92" s="6" t="s">
        <v>476</v>
      </c>
      <c r="K92" s="6" t="s">
        <v>928</v>
      </c>
      <c r="L92" s="6" t="s">
        <v>448</v>
      </c>
      <c r="M92" s="7" t="s">
        <v>449</v>
      </c>
      <c r="N92" s="7"/>
      <c r="O92" s="7"/>
      <c r="P92" s="7"/>
      <c r="Q92" s="6"/>
    </row>
    <row r="93" customFormat="false" ht="22.35" hidden="false" customHeight="false" outlineLevel="0" collapsed="false">
      <c r="A93" s="5" t="s">
        <v>929</v>
      </c>
      <c r="B93" s="6" t="s">
        <v>106</v>
      </c>
      <c r="C93" s="6" t="s">
        <v>109</v>
      </c>
      <c r="D93" s="6" t="s">
        <v>909</v>
      </c>
      <c r="E93" s="6" t="s">
        <v>930</v>
      </c>
      <c r="F93" s="6" t="s">
        <v>430</v>
      </c>
      <c r="G93" s="6" t="s">
        <v>443</v>
      </c>
      <c r="H93" s="6" t="s">
        <v>931</v>
      </c>
      <c r="I93" s="6" t="s">
        <v>932</v>
      </c>
      <c r="J93" s="6" t="s">
        <v>933</v>
      </c>
      <c r="K93" s="6" t="s">
        <v>934</v>
      </c>
      <c r="L93" s="6" t="s">
        <v>448</v>
      </c>
      <c r="M93" s="7" t="s">
        <v>449</v>
      </c>
      <c r="N93" s="7"/>
      <c r="O93" s="7"/>
      <c r="P93" s="7"/>
      <c r="Q93" s="6"/>
    </row>
    <row r="94" customFormat="false" ht="22.35" hidden="false" customHeight="false" outlineLevel="0" collapsed="false">
      <c r="A94" s="5" t="s">
        <v>935</v>
      </c>
      <c r="B94" s="6" t="s">
        <v>106</v>
      </c>
      <c r="C94" s="6" t="s">
        <v>109</v>
      </c>
      <c r="D94" s="6" t="s">
        <v>909</v>
      </c>
      <c r="E94" s="6" t="s">
        <v>936</v>
      </c>
      <c r="F94" s="6" t="s">
        <v>419</v>
      </c>
      <c r="G94" s="6" t="s">
        <v>443</v>
      </c>
      <c r="H94" s="6" t="s">
        <v>937</v>
      </c>
      <c r="I94" s="6" t="s">
        <v>938</v>
      </c>
      <c r="J94" s="6" t="s">
        <v>476</v>
      </c>
      <c r="K94" s="6" t="s">
        <v>939</v>
      </c>
      <c r="L94" s="6" t="s">
        <v>448</v>
      </c>
      <c r="M94" s="7" t="s">
        <v>449</v>
      </c>
      <c r="N94" s="7"/>
      <c r="O94" s="7"/>
      <c r="P94" s="7"/>
      <c r="Q94" s="6"/>
    </row>
    <row r="95" customFormat="false" ht="22.35" hidden="false" customHeight="false" outlineLevel="0" collapsed="false">
      <c r="A95" s="5" t="s">
        <v>940</v>
      </c>
      <c r="B95" s="6" t="s">
        <v>106</v>
      </c>
      <c r="C95" s="6" t="s">
        <v>109</v>
      </c>
      <c r="D95" s="6" t="s">
        <v>909</v>
      </c>
      <c r="E95" s="6" t="s">
        <v>941</v>
      </c>
      <c r="F95" s="6" t="s">
        <v>480</v>
      </c>
      <c r="G95" s="6" t="s">
        <v>420</v>
      </c>
      <c r="H95" s="6" t="s">
        <v>931</v>
      </c>
      <c r="I95" s="6" t="s">
        <v>942</v>
      </c>
      <c r="J95" s="6" t="s">
        <v>476</v>
      </c>
      <c r="K95" s="6" t="s">
        <v>943</v>
      </c>
      <c r="L95" s="6" t="s">
        <v>448</v>
      </c>
      <c r="M95" s="7" t="s">
        <v>449</v>
      </c>
      <c r="N95" s="7"/>
      <c r="O95" s="7"/>
      <c r="P95" s="7"/>
      <c r="Q95" s="6"/>
    </row>
    <row r="96" customFormat="false" ht="22.35" hidden="false" customHeight="false" outlineLevel="0" collapsed="false">
      <c r="A96" s="5" t="s">
        <v>944</v>
      </c>
      <c r="B96" s="6" t="s">
        <v>106</v>
      </c>
      <c r="C96" s="6" t="s">
        <v>109</v>
      </c>
      <c r="D96" s="6" t="s">
        <v>909</v>
      </c>
      <c r="E96" s="6" t="s">
        <v>945</v>
      </c>
      <c r="F96" s="6" t="s">
        <v>559</v>
      </c>
      <c r="G96" s="6" t="s">
        <v>474</v>
      </c>
      <c r="H96" s="6" t="s">
        <v>931</v>
      </c>
      <c r="I96" s="6" t="s">
        <v>946</v>
      </c>
      <c r="J96" s="6" t="s">
        <v>476</v>
      </c>
      <c r="K96" s="6" t="s">
        <v>947</v>
      </c>
      <c r="L96" s="6" t="s">
        <v>448</v>
      </c>
      <c r="M96" s="7" t="s">
        <v>449</v>
      </c>
      <c r="N96" s="7"/>
      <c r="O96" s="7"/>
      <c r="P96" s="7"/>
      <c r="Q96" s="6"/>
    </row>
    <row r="97" customFormat="false" ht="15" hidden="false" customHeight="false" outlineLevel="0" collapsed="false">
      <c r="A97" s="5" t="s">
        <v>948</v>
      </c>
      <c r="B97" s="6" t="s">
        <v>278</v>
      </c>
      <c r="C97" s="6" t="s">
        <v>747</v>
      </c>
      <c r="D97" s="6" t="s">
        <v>280</v>
      </c>
      <c r="E97" s="6" t="s">
        <v>949</v>
      </c>
      <c r="F97" s="6" t="s">
        <v>419</v>
      </c>
      <c r="G97" s="6" t="s">
        <v>420</v>
      </c>
      <c r="H97" s="6" t="s">
        <v>950</v>
      </c>
      <c r="I97" s="6" t="s">
        <v>951</v>
      </c>
      <c r="J97" s="6" t="s">
        <v>476</v>
      </c>
      <c r="K97" s="6" t="s">
        <v>952</v>
      </c>
      <c r="L97" s="6" t="s">
        <v>425</v>
      </c>
      <c r="M97" s="7" t="s">
        <v>485</v>
      </c>
      <c r="N97" s="7"/>
      <c r="O97" s="7"/>
      <c r="P97" s="7"/>
      <c r="Q97" s="6" t="s">
        <v>588</v>
      </c>
    </row>
    <row r="98" customFormat="false" ht="15" hidden="false" customHeight="false" outlineLevel="0" collapsed="false">
      <c r="A98" s="5" t="s">
        <v>953</v>
      </c>
      <c r="B98" s="6" t="s">
        <v>278</v>
      </c>
      <c r="C98" s="6" t="s">
        <v>747</v>
      </c>
      <c r="D98" s="6" t="s">
        <v>280</v>
      </c>
      <c r="E98" s="6" t="s">
        <v>954</v>
      </c>
      <c r="F98" s="6" t="s">
        <v>419</v>
      </c>
      <c r="G98" s="6" t="s">
        <v>420</v>
      </c>
      <c r="H98" s="6" t="s">
        <v>950</v>
      </c>
      <c r="I98" s="6" t="s">
        <v>955</v>
      </c>
      <c r="J98" s="6" t="s">
        <v>476</v>
      </c>
      <c r="K98" s="6" t="s">
        <v>956</v>
      </c>
      <c r="L98" s="6" t="s">
        <v>425</v>
      </c>
      <c r="M98" s="7" t="s">
        <v>485</v>
      </c>
      <c r="N98" s="7"/>
      <c r="O98" s="7"/>
      <c r="P98" s="7"/>
      <c r="Q98" s="6"/>
    </row>
    <row r="99" customFormat="false" ht="22.35" hidden="false" customHeight="false" outlineLevel="0" collapsed="false">
      <c r="A99" s="5" t="s">
        <v>957</v>
      </c>
      <c r="B99" s="6" t="s">
        <v>286</v>
      </c>
      <c r="C99" s="6" t="s">
        <v>747</v>
      </c>
      <c r="D99" s="6" t="s">
        <v>280</v>
      </c>
      <c r="E99" s="6" t="s">
        <v>958</v>
      </c>
      <c r="F99" s="6" t="s">
        <v>419</v>
      </c>
      <c r="G99" s="6" t="s">
        <v>420</v>
      </c>
      <c r="H99" s="6" t="s">
        <v>959</v>
      </c>
      <c r="I99" s="6" t="s">
        <v>960</v>
      </c>
      <c r="J99" s="6" t="s">
        <v>476</v>
      </c>
      <c r="K99" s="6" t="s">
        <v>961</v>
      </c>
      <c r="L99" s="6" t="s">
        <v>425</v>
      </c>
      <c r="M99" s="7" t="s">
        <v>485</v>
      </c>
      <c r="N99" s="7"/>
      <c r="O99" s="7"/>
      <c r="P99" s="7"/>
      <c r="Q99" s="6"/>
    </row>
    <row r="100" customFormat="false" ht="15" hidden="false" customHeight="false" outlineLevel="0" collapsed="false">
      <c r="A100" s="5" t="s">
        <v>962</v>
      </c>
      <c r="B100" s="6" t="s">
        <v>383</v>
      </c>
      <c r="C100" s="6" t="s">
        <v>747</v>
      </c>
      <c r="D100" s="6" t="s">
        <v>280</v>
      </c>
      <c r="E100" s="6" t="s">
        <v>963</v>
      </c>
      <c r="F100" s="6" t="s">
        <v>480</v>
      </c>
      <c r="G100" s="6" t="s">
        <v>420</v>
      </c>
      <c r="H100" s="6" t="s">
        <v>573</v>
      </c>
      <c r="I100" s="6" t="s">
        <v>964</v>
      </c>
      <c r="J100" s="6" t="s">
        <v>476</v>
      </c>
      <c r="K100" s="6" t="s">
        <v>730</v>
      </c>
      <c r="L100" s="6" t="s">
        <v>425</v>
      </c>
      <c r="M100" s="7" t="s">
        <v>485</v>
      </c>
      <c r="N100" s="7"/>
      <c r="O100" s="7"/>
      <c r="P100" s="7"/>
      <c r="Q100" s="6"/>
    </row>
    <row r="101" customFormat="false" ht="22.35" hidden="false" customHeight="false" outlineLevel="0" collapsed="false">
      <c r="A101" s="5" t="s">
        <v>965</v>
      </c>
      <c r="B101" s="6" t="s">
        <v>286</v>
      </c>
      <c r="C101" s="6" t="s">
        <v>966</v>
      </c>
      <c r="D101" s="6" t="s">
        <v>280</v>
      </c>
      <c r="E101" s="6" t="s">
        <v>967</v>
      </c>
      <c r="F101" s="6" t="s">
        <v>419</v>
      </c>
      <c r="G101" s="6" t="s">
        <v>420</v>
      </c>
      <c r="H101" s="6" t="s">
        <v>968</v>
      </c>
      <c r="I101" s="6" t="s">
        <v>969</v>
      </c>
      <c r="J101" s="6" t="s">
        <v>476</v>
      </c>
      <c r="K101" s="6" t="s">
        <v>970</v>
      </c>
      <c r="L101" s="6" t="s">
        <v>448</v>
      </c>
      <c r="M101" s="7" t="s">
        <v>449</v>
      </c>
      <c r="N101" s="7"/>
      <c r="O101" s="7"/>
      <c r="P101" s="7"/>
      <c r="Q101" s="6" t="s">
        <v>971</v>
      </c>
    </row>
    <row r="102" customFormat="false" ht="22.35" hidden="false" customHeight="false" outlineLevel="0" collapsed="false">
      <c r="A102" s="5" t="s">
        <v>972</v>
      </c>
      <c r="B102" s="6" t="s">
        <v>286</v>
      </c>
      <c r="C102" s="6" t="s">
        <v>966</v>
      </c>
      <c r="D102" s="6" t="s">
        <v>280</v>
      </c>
      <c r="E102" s="6" t="s">
        <v>973</v>
      </c>
      <c r="F102" s="6" t="s">
        <v>480</v>
      </c>
      <c r="G102" s="6" t="s">
        <v>420</v>
      </c>
      <c r="H102" s="6" t="s">
        <v>483</v>
      </c>
      <c r="I102" s="6" t="s">
        <v>974</v>
      </c>
      <c r="J102" s="6" t="s">
        <v>476</v>
      </c>
      <c r="K102" s="6" t="s">
        <v>730</v>
      </c>
      <c r="L102" s="6" t="s">
        <v>448</v>
      </c>
      <c r="M102" s="7" t="s">
        <v>485</v>
      </c>
      <c r="N102" s="7"/>
      <c r="O102" s="7"/>
      <c r="P102" s="7"/>
      <c r="Q102" s="6"/>
    </row>
    <row r="103" customFormat="false" ht="15" hidden="false" customHeight="false" outlineLevel="0" collapsed="false">
      <c r="A103" s="5" t="s">
        <v>975</v>
      </c>
      <c r="B103" s="6" t="s">
        <v>286</v>
      </c>
      <c r="C103" s="6" t="s">
        <v>966</v>
      </c>
      <c r="D103" s="6" t="s">
        <v>280</v>
      </c>
      <c r="E103" s="6" t="s">
        <v>976</v>
      </c>
      <c r="F103" s="6" t="s">
        <v>480</v>
      </c>
      <c r="G103" s="6" t="s">
        <v>420</v>
      </c>
      <c r="H103" s="6" t="s">
        <v>483</v>
      </c>
      <c r="I103" s="6" t="s">
        <v>977</v>
      </c>
      <c r="J103" s="6" t="s">
        <v>476</v>
      </c>
      <c r="K103" s="6" t="s">
        <v>730</v>
      </c>
      <c r="L103" s="6" t="s">
        <v>448</v>
      </c>
      <c r="M103" s="7" t="s">
        <v>485</v>
      </c>
      <c r="N103" s="7"/>
      <c r="O103" s="7"/>
      <c r="P103" s="7"/>
      <c r="Q103" s="6"/>
    </row>
    <row r="104" customFormat="false" ht="22.35" hidden="false" customHeight="false" outlineLevel="0" collapsed="false">
      <c r="A104" s="5" t="s">
        <v>978</v>
      </c>
      <c r="B104" s="6" t="s">
        <v>286</v>
      </c>
      <c r="C104" s="6" t="s">
        <v>966</v>
      </c>
      <c r="D104" s="6" t="s">
        <v>280</v>
      </c>
      <c r="E104" s="6" t="s">
        <v>979</v>
      </c>
      <c r="F104" s="6" t="s">
        <v>419</v>
      </c>
      <c r="G104" s="6" t="s">
        <v>443</v>
      </c>
      <c r="H104" s="6" t="s">
        <v>980</v>
      </c>
      <c r="I104" s="6" t="s">
        <v>981</v>
      </c>
      <c r="J104" s="6" t="s">
        <v>982</v>
      </c>
      <c r="K104" s="6" t="s">
        <v>983</v>
      </c>
      <c r="L104" s="6" t="s">
        <v>448</v>
      </c>
      <c r="M104" s="7" t="s">
        <v>449</v>
      </c>
      <c r="N104" s="7"/>
      <c r="O104" s="7"/>
      <c r="P104" s="7"/>
      <c r="Q104" s="6"/>
    </row>
    <row r="105" customFormat="false" ht="15" hidden="false" customHeight="false" outlineLevel="0" collapsed="false">
      <c r="A105" s="5" t="s">
        <v>984</v>
      </c>
      <c r="B105" s="6" t="s">
        <v>286</v>
      </c>
      <c r="C105" s="6" t="s">
        <v>966</v>
      </c>
      <c r="D105" s="6" t="s">
        <v>280</v>
      </c>
      <c r="E105" s="6" t="s">
        <v>985</v>
      </c>
      <c r="F105" s="6" t="s">
        <v>480</v>
      </c>
      <c r="G105" s="6" t="s">
        <v>443</v>
      </c>
      <c r="H105" s="6" t="s">
        <v>118</v>
      </c>
      <c r="I105" s="6" t="s">
        <v>986</v>
      </c>
      <c r="J105" s="6" t="s">
        <v>476</v>
      </c>
      <c r="K105" s="6" t="s">
        <v>730</v>
      </c>
      <c r="L105" s="6" t="s">
        <v>448</v>
      </c>
      <c r="M105" s="7" t="s">
        <v>485</v>
      </c>
      <c r="N105" s="7"/>
      <c r="O105" s="7"/>
      <c r="P105" s="7"/>
      <c r="Q105" s="6"/>
    </row>
    <row r="106" customFormat="false" ht="15" hidden="false" customHeight="false" outlineLevel="0" collapsed="false">
      <c r="A106" s="5" t="s">
        <v>987</v>
      </c>
      <c r="B106" s="6" t="s">
        <v>278</v>
      </c>
      <c r="C106" s="6" t="s">
        <v>747</v>
      </c>
      <c r="D106" s="6" t="s">
        <v>280</v>
      </c>
      <c r="E106" s="6" t="s">
        <v>988</v>
      </c>
      <c r="F106" s="6" t="s">
        <v>419</v>
      </c>
      <c r="G106" s="6" t="s">
        <v>474</v>
      </c>
      <c r="H106" s="6" t="s">
        <v>71</v>
      </c>
      <c r="I106" s="6" t="s">
        <v>989</v>
      </c>
      <c r="J106" s="6" t="s">
        <v>476</v>
      </c>
      <c r="K106" s="6" t="s">
        <v>990</v>
      </c>
      <c r="L106" s="6" t="s">
        <v>448</v>
      </c>
      <c r="M106" s="7" t="s">
        <v>449</v>
      </c>
      <c r="N106" s="7"/>
      <c r="O106" s="7"/>
      <c r="P106" s="7"/>
      <c r="Q106" s="6"/>
    </row>
    <row r="107" customFormat="false" ht="15" hidden="false" customHeight="false" outlineLevel="0" collapsed="false">
      <c r="A107" s="5" t="s">
        <v>991</v>
      </c>
      <c r="B107" s="6" t="s">
        <v>278</v>
      </c>
      <c r="C107" s="6" t="s">
        <v>747</v>
      </c>
      <c r="D107" s="6" t="s">
        <v>280</v>
      </c>
      <c r="E107" s="6" t="s">
        <v>992</v>
      </c>
      <c r="F107" s="6" t="s">
        <v>419</v>
      </c>
      <c r="G107" s="6" t="s">
        <v>443</v>
      </c>
      <c r="H107" s="6" t="s">
        <v>931</v>
      </c>
      <c r="I107" s="6" t="s">
        <v>993</v>
      </c>
      <c r="J107" s="6" t="s">
        <v>476</v>
      </c>
      <c r="K107" s="6" t="s">
        <v>994</v>
      </c>
      <c r="L107" s="6" t="s">
        <v>448</v>
      </c>
      <c r="M107" s="7" t="s">
        <v>449</v>
      </c>
      <c r="N107" s="7"/>
      <c r="O107" s="7"/>
      <c r="P107" s="7"/>
      <c r="Q107" s="6"/>
    </row>
    <row r="108" customFormat="false" ht="15" hidden="false" customHeight="false" outlineLevel="0" collapsed="false">
      <c r="A108" s="5" t="s">
        <v>995</v>
      </c>
      <c r="B108" s="6" t="s">
        <v>96</v>
      </c>
      <c r="C108" s="6" t="s">
        <v>99</v>
      </c>
      <c r="D108" s="6" t="s">
        <v>98</v>
      </c>
      <c r="E108" s="6" t="s">
        <v>996</v>
      </c>
      <c r="F108" s="6" t="s">
        <v>419</v>
      </c>
      <c r="G108" s="6" t="s">
        <v>443</v>
      </c>
      <c r="H108" s="6" t="s">
        <v>997</v>
      </c>
      <c r="I108" s="6" t="s">
        <v>998</v>
      </c>
      <c r="J108" s="6" t="s">
        <v>999</v>
      </c>
      <c r="K108" s="6" t="s">
        <v>1000</v>
      </c>
      <c r="L108" s="6" t="s">
        <v>448</v>
      </c>
      <c r="M108" s="7" t="s">
        <v>449</v>
      </c>
      <c r="N108" s="7"/>
      <c r="O108" s="7"/>
      <c r="P108" s="7"/>
      <c r="Q108" s="6"/>
    </row>
    <row r="109" customFormat="false" ht="15" hidden="false" customHeight="false" outlineLevel="0" collapsed="false">
      <c r="A109" s="5" t="s">
        <v>1001</v>
      </c>
      <c r="B109" s="6" t="s">
        <v>96</v>
      </c>
      <c r="C109" s="6" t="s">
        <v>99</v>
      </c>
      <c r="D109" s="6" t="s">
        <v>98</v>
      </c>
      <c r="E109" s="6" t="s">
        <v>1002</v>
      </c>
      <c r="F109" s="6" t="s">
        <v>419</v>
      </c>
      <c r="G109" s="6" t="s">
        <v>474</v>
      </c>
      <c r="H109" s="6" t="s">
        <v>476</v>
      </c>
      <c r="I109" s="6" t="s">
        <v>1003</v>
      </c>
      <c r="J109" s="6" t="s">
        <v>1004</v>
      </c>
      <c r="K109" s="6" t="s">
        <v>1005</v>
      </c>
      <c r="L109" s="6" t="s">
        <v>448</v>
      </c>
      <c r="M109" s="7" t="s">
        <v>449</v>
      </c>
      <c r="N109" s="7"/>
      <c r="O109" s="7"/>
      <c r="P109" s="7"/>
      <c r="Q109" s="6"/>
    </row>
    <row r="110" customFormat="false" ht="22.35" hidden="false" customHeight="false" outlineLevel="0" collapsed="false">
      <c r="A110" s="5" t="s">
        <v>1006</v>
      </c>
      <c r="B110" s="6" t="s">
        <v>96</v>
      </c>
      <c r="C110" s="6" t="s">
        <v>99</v>
      </c>
      <c r="D110" s="6" t="s">
        <v>98</v>
      </c>
      <c r="E110" s="6" t="s">
        <v>1007</v>
      </c>
      <c r="F110" s="6" t="s">
        <v>1008</v>
      </c>
      <c r="G110" s="6" t="s">
        <v>420</v>
      </c>
      <c r="H110" s="6" t="s">
        <v>1009</v>
      </c>
      <c r="I110" s="6" t="s">
        <v>1010</v>
      </c>
      <c r="J110" s="6" t="s">
        <v>1011</v>
      </c>
      <c r="K110" s="6" t="s">
        <v>1012</v>
      </c>
      <c r="L110" s="6" t="s">
        <v>448</v>
      </c>
      <c r="M110" s="7" t="s">
        <v>1013</v>
      </c>
      <c r="N110" s="7"/>
      <c r="O110" s="7"/>
      <c r="P110" s="7"/>
      <c r="Q110" s="6" t="s">
        <v>1014</v>
      </c>
    </row>
    <row r="111" customFormat="false" ht="22.35" hidden="false" customHeight="false" outlineLevel="0" collapsed="false">
      <c r="A111" s="5" t="s">
        <v>1015</v>
      </c>
      <c r="B111" s="6" t="s">
        <v>96</v>
      </c>
      <c r="C111" s="6" t="s">
        <v>99</v>
      </c>
      <c r="D111" s="6" t="s">
        <v>98</v>
      </c>
      <c r="E111" s="6" t="s">
        <v>1016</v>
      </c>
      <c r="F111" s="6" t="s">
        <v>480</v>
      </c>
      <c r="G111" s="6" t="s">
        <v>420</v>
      </c>
      <c r="H111" s="6" t="s">
        <v>1017</v>
      </c>
      <c r="I111" s="6" t="s">
        <v>1018</v>
      </c>
      <c r="J111" s="6" t="s">
        <v>476</v>
      </c>
      <c r="K111" s="6" t="s">
        <v>1019</v>
      </c>
      <c r="L111" s="6" t="s">
        <v>448</v>
      </c>
      <c r="M111" s="7" t="s">
        <v>449</v>
      </c>
      <c r="N111" s="7"/>
      <c r="O111" s="7"/>
      <c r="P111" s="7"/>
      <c r="Q111" s="6"/>
    </row>
    <row r="112" customFormat="false" ht="15" hidden="false" customHeight="false" outlineLevel="0" collapsed="false">
      <c r="A112" s="5" t="s">
        <v>1020</v>
      </c>
      <c r="B112" s="6" t="s">
        <v>96</v>
      </c>
      <c r="C112" s="6" t="s">
        <v>99</v>
      </c>
      <c r="D112" s="6" t="s">
        <v>98</v>
      </c>
      <c r="E112" s="6" t="s">
        <v>1021</v>
      </c>
      <c r="F112" s="6" t="s">
        <v>430</v>
      </c>
      <c r="G112" s="6" t="s">
        <v>443</v>
      </c>
      <c r="H112" s="6" t="s">
        <v>476</v>
      </c>
      <c r="I112" s="6" t="s">
        <v>1022</v>
      </c>
      <c r="J112" s="6" t="s">
        <v>476</v>
      </c>
      <c r="K112" s="6" t="s">
        <v>1023</v>
      </c>
      <c r="L112" s="6" t="s">
        <v>448</v>
      </c>
      <c r="M112" s="7" t="s">
        <v>485</v>
      </c>
      <c r="N112" s="7"/>
      <c r="O112" s="7"/>
      <c r="P112" s="7"/>
      <c r="Q112" s="6"/>
    </row>
    <row r="113" customFormat="false" ht="15" hidden="false" customHeight="false" outlineLevel="0" collapsed="false">
      <c r="A113" s="5" t="s">
        <v>1024</v>
      </c>
      <c r="B113" s="6" t="s">
        <v>134</v>
      </c>
      <c r="C113" s="6" t="s">
        <v>99</v>
      </c>
      <c r="D113" s="6" t="s">
        <v>98</v>
      </c>
      <c r="E113" s="6" t="s">
        <v>1025</v>
      </c>
      <c r="F113" s="6" t="s">
        <v>1026</v>
      </c>
      <c r="G113" s="6" t="s">
        <v>443</v>
      </c>
      <c r="H113" s="6" t="s">
        <v>1027</v>
      </c>
      <c r="I113" s="6" t="s">
        <v>1028</v>
      </c>
      <c r="J113" s="6" t="s">
        <v>476</v>
      </c>
      <c r="K113" s="6" t="s">
        <v>1029</v>
      </c>
      <c r="L113" s="6" t="s">
        <v>448</v>
      </c>
      <c r="M113" s="7" t="s">
        <v>449</v>
      </c>
      <c r="N113" s="7"/>
      <c r="O113" s="7"/>
      <c r="P113" s="7"/>
      <c r="Q113" s="6"/>
    </row>
    <row r="114" customFormat="false" ht="22.35" hidden="false" customHeight="false" outlineLevel="0" collapsed="false">
      <c r="A114" s="5" t="s">
        <v>1030</v>
      </c>
      <c r="B114" s="6" t="s">
        <v>383</v>
      </c>
      <c r="C114" s="6" t="s">
        <v>99</v>
      </c>
      <c r="D114" s="6" t="s">
        <v>98</v>
      </c>
      <c r="E114" s="6" t="s">
        <v>1031</v>
      </c>
      <c r="F114" s="6" t="s">
        <v>480</v>
      </c>
      <c r="G114" s="6" t="s">
        <v>420</v>
      </c>
      <c r="H114" s="6" t="s">
        <v>1032</v>
      </c>
      <c r="I114" s="6" t="s">
        <v>1033</v>
      </c>
      <c r="J114" s="6" t="s">
        <v>476</v>
      </c>
      <c r="K114" s="6" t="s">
        <v>1034</v>
      </c>
      <c r="L114" s="6" t="s">
        <v>448</v>
      </c>
      <c r="M114" s="7" t="s">
        <v>485</v>
      </c>
      <c r="N114" s="7"/>
      <c r="O114" s="7"/>
      <c r="P114" s="7"/>
      <c r="Q114" s="6"/>
    </row>
    <row r="115" customFormat="false" ht="22.35" hidden="false" customHeight="false" outlineLevel="0" collapsed="false">
      <c r="A115" s="5" t="s">
        <v>1035</v>
      </c>
      <c r="B115" s="6" t="s">
        <v>77</v>
      </c>
      <c r="C115" s="6" t="s">
        <v>99</v>
      </c>
      <c r="D115" s="6" t="s">
        <v>98</v>
      </c>
      <c r="E115" s="6" t="s">
        <v>1036</v>
      </c>
      <c r="F115" s="6" t="s">
        <v>480</v>
      </c>
      <c r="G115" s="6" t="s">
        <v>420</v>
      </c>
      <c r="H115" s="6" t="s">
        <v>476</v>
      </c>
      <c r="I115" s="6" t="s">
        <v>1037</v>
      </c>
      <c r="J115" s="6" t="s">
        <v>476</v>
      </c>
      <c r="K115" s="6" t="s">
        <v>730</v>
      </c>
      <c r="L115" s="6" t="s">
        <v>448</v>
      </c>
      <c r="M115" s="7" t="s">
        <v>485</v>
      </c>
      <c r="N115" s="7"/>
      <c r="O115" s="7"/>
      <c r="P115" s="7"/>
      <c r="Q115" s="6"/>
    </row>
    <row r="116" customFormat="false" ht="15" hidden="false" customHeight="false" outlineLevel="0" collapsed="false">
      <c r="A116" s="5" t="s">
        <v>1038</v>
      </c>
      <c r="B116" s="6" t="s">
        <v>207</v>
      </c>
      <c r="C116" s="6" t="s">
        <v>209</v>
      </c>
      <c r="D116" s="6" t="s">
        <v>98</v>
      </c>
      <c r="E116" s="6" t="s">
        <v>1039</v>
      </c>
      <c r="F116" s="6" t="s">
        <v>419</v>
      </c>
      <c r="G116" s="6" t="s">
        <v>420</v>
      </c>
      <c r="H116" s="6" t="s">
        <v>684</v>
      </c>
      <c r="I116" s="6" t="s">
        <v>1040</v>
      </c>
      <c r="J116" s="6" t="s">
        <v>476</v>
      </c>
      <c r="K116" s="6" t="s">
        <v>1041</v>
      </c>
      <c r="L116" s="6" t="s">
        <v>448</v>
      </c>
      <c r="M116" s="7" t="s">
        <v>449</v>
      </c>
      <c r="N116" s="7"/>
      <c r="O116" s="7"/>
      <c r="P116" s="7"/>
      <c r="Q116" s="6"/>
    </row>
    <row r="117" customFormat="false" ht="22.35" hidden="false" customHeight="false" outlineLevel="0" collapsed="false">
      <c r="A117" s="5" t="s">
        <v>1042</v>
      </c>
      <c r="B117" s="6" t="s">
        <v>207</v>
      </c>
      <c r="C117" s="6" t="s">
        <v>209</v>
      </c>
      <c r="D117" s="6" t="s">
        <v>98</v>
      </c>
      <c r="E117" s="6" t="s">
        <v>1043</v>
      </c>
      <c r="F117" s="6" t="s">
        <v>480</v>
      </c>
      <c r="G117" s="6" t="s">
        <v>420</v>
      </c>
      <c r="H117" s="6" t="s">
        <v>1044</v>
      </c>
      <c r="I117" s="6" t="s">
        <v>1045</v>
      </c>
      <c r="J117" s="6" t="s">
        <v>476</v>
      </c>
      <c r="K117" s="6" t="s">
        <v>1046</v>
      </c>
      <c r="L117" s="6" t="s">
        <v>448</v>
      </c>
      <c r="M117" s="7" t="s">
        <v>449</v>
      </c>
      <c r="N117" s="7"/>
      <c r="O117" s="7"/>
      <c r="P117" s="7"/>
      <c r="Q117" s="6"/>
    </row>
    <row r="118" customFormat="false" ht="15" hidden="false" customHeight="false" outlineLevel="0" collapsed="false">
      <c r="A118" s="5" t="s">
        <v>1047</v>
      </c>
      <c r="B118" s="6" t="s">
        <v>375</v>
      </c>
      <c r="C118" s="6" t="s">
        <v>99</v>
      </c>
      <c r="D118" s="6" t="s">
        <v>98</v>
      </c>
      <c r="E118" s="6" t="s">
        <v>1048</v>
      </c>
      <c r="F118" s="6" t="s">
        <v>419</v>
      </c>
      <c r="G118" s="6" t="s">
        <v>420</v>
      </c>
      <c r="H118" s="6" t="s">
        <v>1049</v>
      </c>
      <c r="I118" s="6" t="s">
        <v>1050</v>
      </c>
      <c r="J118" s="6" t="s">
        <v>1051</v>
      </c>
      <c r="K118" s="6" t="s">
        <v>1052</v>
      </c>
      <c r="L118" s="6" t="s">
        <v>448</v>
      </c>
      <c r="M118" s="7" t="s">
        <v>449</v>
      </c>
      <c r="N118" s="7"/>
      <c r="O118" s="7"/>
      <c r="P118" s="7"/>
      <c r="Q118" s="6"/>
    </row>
    <row r="119" customFormat="false" ht="22.35" hidden="false" customHeight="false" outlineLevel="0" collapsed="false">
      <c r="A119" s="5" t="s">
        <v>1053</v>
      </c>
      <c r="B119" s="6" t="s">
        <v>375</v>
      </c>
      <c r="C119" s="6" t="s">
        <v>99</v>
      </c>
      <c r="D119" s="6" t="s">
        <v>98</v>
      </c>
      <c r="E119" s="6" t="s">
        <v>1054</v>
      </c>
      <c r="F119" s="6" t="s">
        <v>419</v>
      </c>
      <c r="G119" s="6" t="s">
        <v>420</v>
      </c>
      <c r="H119" s="6" t="s">
        <v>1055</v>
      </c>
      <c r="I119" s="6" t="s">
        <v>1056</v>
      </c>
      <c r="J119" s="6" t="s">
        <v>476</v>
      </c>
      <c r="K119" s="6" t="s">
        <v>1057</v>
      </c>
      <c r="L119" s="6" t="s">
        <v>448</v>
      </c>
      <c r="M119" s="7" t="s">
        <v>449</v>
      </c>
      <c r="N119" s="7"/>
      <c r="O119" s="7"/>
      <c r="P119" s="7"/>
      <c r="Q119" s="6"/>
    </row>
    <row r="120" customFormat="false" ht="15" hidden="false" customHeight="false" outlineLevel="0" collapsed="false">
      <c r="A120" s="5" t="s">
        <v>1058</v>
      </c>
      <c r="B120" s="6" t="s">
        <v>215</v>
      </c>
      <c r="C120" s="6" t="s">
        <v>218</v>
      </c>
      <c r="D120" s="6" t="s">
        <v>217</v>
      </c>
      <c r="E120" s="6" t="s">
        <v>1059</v>
      </c>
      <c r="F120" s="6" t="s">
        <v>559</v>
      </c>
      <c r="G120" s="6" t="s">
        <v>443</v>
      </c>
      <c r="H120" s="6" t="s">
        <v>468</v>
      </c>
      <c r="I120" s="6" t="s">
        <v>1060</v>
      </c>
      <c r="J120" s="6" t="s">
        <v>476</v>
      </c>
      <c r="K120" s="6" t="s">
        <v>1061</v>
      </c>
      <c r="L120" s="6" t="s">
        <v>448</v>
      </c>
      <c r="M120" s="7" t="s">
        <v>449</v>
      </c>
      <c r="N120" s="7"/>
      <c r="O120" s="7"/>
      <c r="P120" s="7"/>
      <c r="Q120" s="6"/>
    </row>
    <row r="121" customFormat="false" ht="15" hidden="false" customHeight="false" outlineLevel="0" collapsed="false">
      <c r="A121" s="5" t="s">
        <v>1062</v>
      </c>
      <c r="B121" s="6" t="s">
        <v>215</v>
      </c>
      <c r="C121" s="6" t="s">
        <v>218</v>
      </c>
      <c r="D121" s="6" t="s">
        <v>217</v>
      </c>
      <c r="E121" s="6" t="s">
        <v>1063</v>
      </c>
      <c r="F121" s="6" t="s">
        <v>419</v>
      </c>
      <c r="G121" s="6" t="s">
        <v>443</v>
      </c>
      <c r="H121" s="6" t="s">
        <v>468</v>
      </c>
      <c r="I121" s="6" t="s">
        <v>1064</v>
      </c>
      <c r="J121" s="6" t="s">
        <v>476</v>
      </c>
      <c r="K121" s="6" t="s">
        <v>1065</v>
      </c>
      <c r="L121" s="6" t="s">
        <v>448</v>
      </c>
      <c r="M121" s="7" t="s">
        <v>449</v>
      </c>
      <c r="N121" s="7"/>
      <c r="O121" s="7"/>
      <c r="P121" s="7"/>
      <c r="Q121" s="6"/>
    </row>
    <row r="122" customFormat="false" ht="15" hidden="false" customHeight="false" outlineLevel="0" collapsed="false">
      <c r="A122" s="5" t="s">
        <v>1066</v>
      </c>
      <c r="B122" s="6" t="s">
        <v>215</v>
      </c>
      <c r="C122" s="6" t="s">
        <v>218</v>
      </c>
      <c r="D122" s="6" t="s">
        <v>217</v>
      </c>
      <c r="E122" s="6" t="s">
        <v>1067</v>
      </c>
      <c r="F122" s="6" t="s">
        <v>1026</v>
      </c>
      <c r="G122" s="6" t="s">
        <v>474</v>
      </c>
      <c r="H122" s="6" t="s">
        <v>476</v>
      </c>
      <c r="I122" s="6" t="s">
        <v>1068</v>
      </c>
      <c r="J122" s="6" t="s">
        <v>476</v>
      </c>
      <c r="K122" s="6" t="s">
        <v>1069</v>
      </c>
      <c r="L122" s="6" t="s">
        <v>448</v>
      </c>
      <c r="M122" s="7" t="s">
        <v>449</v>
      </c>
      <c r="N122" s="7"/>
      <c r="O122" s="7"/>
      <c r="P122" s="7"/>
      <c r="Q122" s="6"/>
    </row>
    <row r="123" customFormat="false" ht="22.35" hidden="false" customHeight="false" outlineLevel="0" collapsed="false">
      <c r="A123" s="5" t="s">
        <v>1070</v>
      </c>
      <c r="B123" s="6" t="s">
        <v>356</v>
      </c>
      <c r="C123" s="6" t="s">
        <v>1071</v>
      </c>
      <c r="D123" s="6" t="s">
        <v>217</v>
      </c>
      <c r="E123" s="6" t="s">
        <v>1072</v>
      </c>
      <c r="F123" s="6" t="s">
        <v>1026</v>
      </c>
      <c r="G123" s="6" t="s">
        <v>474</v>
      </c>
      <c r="H123" s="6" t="s">
        <v>1073</v>
      </c>
      <c r="I123" s="6" t="s">
        <v>1074</v>
      </c>
      <c r="J123" s="6" t="s">
        <v>476</v>
      </c>
      <c r="K123" s="6" t="s">
        <v>1075</v>
      </c>
      <c r="L123" s="6" t="s">
        <v>448</v>
      </c>
      <c r="M123" s="7" t="s">
        <v>449</v>
      </c>
      <c r="N123" s="7"/>
      <c r="O123" s="7"/>
      <c r="P123" s="7"/>
      <c r="Q123" s="6"/>
    </row>
    <row r="124" customFormat="false" ht="22.35" hidden="false" customHeight="false" outlineLevel="0" collapsed="false">
      <c r="A124" s="5" t="s">
        <v>1076</v>
      </c>
      <c r="B124" s="6" t="s">
        <v>349</v>
      </c>
      <c r="C124" s="6" t="s">
        <v>218</v>
      </c>
      <c r="D124" s="6" t="s">
        <v>217</v>
      </c>
      <c r="E124" s="6" t="s">
        <v>1077</v>
      </c>
      <c r="F124" s="6" t="s">
        <v>419</v>
      </c>
      <c r="G124" s="6" t="s">
        <v>443</v>
      </c>
      <c r="H124" s="6" t="s">
        <v>476</v>
      </c>
      <c r="I124" s="6" t="s">
        <v>1078</v>
      </c>
      <c r="J124" s="6" t="s">
        <v>476</v>
      </c>
      <c r="K124" s="6" t="s">
        <v>1079</v>
      </c>
      <c r="L124" s="6" t="s">
        <v>448</v>
      </c>
      <c r="M124" s="7" t="s">
        <v>449</v>
      </c>
      <c r="N124" s="7"/>
      <c r="O124" s="7"/>
      <c r="P124" s="7"/>
      <c r="Q124" s="6"/>
    </row>
    <row r="125" customFormat="false" ht="22.35" hidden="false" customHeight="false" outlineLevel="0" collapsed="false">
      <c r="A125" s="5" t="s">
        <v>1080</v>
      </c>
      <c r="B125" s="6" t="s">
        <v>349</v>
      </c>
      <c r="C125" s="6" t="s">
        <v>218</v>
      </c>
      <c r="D125" s="6" t="s">
        <v>217</v>
      </c>
      <c r="E125" s="6" t="s">
        <v>1081</v>
      </c>
      <c r="F125" s="6" t="s">
        <v>419</v>
      </c>
      <c r="G125" s="6" t="s">
        <v>443</v>
      </c>
      <c r="H125" s="6" t="s">
        <v>476</v>
      </c>
      <c r="I125" s="6" t="s">
        <v>1082</v>
      </c>
      <c r="J125" s="6" t="s">
        <v>476</v>
      </c>
      <c r="K125" s="6" t="s">
        <v>1083</v>
      </c>
      <c r="L125" s="6" t="s">
        <v>448</v>
      </c>
      <c r="M125" s="7" t="s">
        <v>449</v>
      </c>
      <c r="N125" s="7"/>
      <c r="O125" s="7"/>
      <c r="P125" s="7"/>
      <c r="Q125" s="6"/>
    </row>
    <row r="126" customFormat="false" ht="15" hidden="false" customHeight="false" outlineLevel="0" collapsed="false">
      <c r="A126" s="5" t="s">
        <v>1084</v>
      </c>
      <c r="B126" s="6" t="s">
        <v>349</v>
      </c>
      <c r="C126" s="6" t="s">
        <v>218</v>
      </c>
      <c r="D126" s="6" t="s">
        <v>217</v>
      </c>
      <c r="E126" s="6" t="s">
        <v>1085</v>
      </c>
      <c r="F126" s="6" t="s">
        <v>559</v>
      </c>
      <c r="G126" s="6" t="s">
        <v>474</v>
      </c>
      <c r="H126" s="6" t="s">
        <v>1086</v>
      </c>
      <c r="I126" s="6" t="s">
        <v>1087</v>
      </c>
      <c r="J126" s="6" t="s">
        <v>476</v>
      </c>
      <c r="K126" s="6" t="s">
        <v>1088</v>
      </c>
      <c r="L126" s="6" t="s">
        <v>448</v>
      </c>
      <c r="M126" s="7" t="s">
        <v>449</v>
      </c>
      <c r="N126" s="7"/>
      <c r="O126" s="7"/>
      <c r="P126" s="7"/>
      <c r="Q126" s="6"/>
    </row>
    <row r="127" customFormat="false" ht="15" hidden="false" customHeight="false" outlineLevel="0" collapsed="false">
      <c r="A127" s="5" t="s">
        <v>1089</v>
      </c>
      <c r="B127" s="6" t="s">
        <v>356</v>
      </c>
      <c r="C127" s="6" t="s">
        <v>1071</v>
      </c>
      <c r="D127" s="6" t="s">
        <v>358</v>
      </c>
      <c r="E127" s="6" t="s">
        <v>1090</v>
      </c>
      <c r="F127" s="6" t="s">
        <v>419</v>
      </c>
      <c r="G127" s="6" t="s">
        <v>474</v>
      </c>
      <c r="H127" s="6" t="s">
        <v>476</v>
      </c>
      <c r="I127" s="6" t="s">
        <v>1091</v>
      </c>
      <c r="J127" s="6" t="s">
        <v>476</v>
      </c>
      <c r="K127" s="6" t="s">
        <v>1092</v>
      </c>
      <c r="L127" s="6" t="s">
        <v>1091</v>
      </c>
      <c r="M127" s="7" t="s">
        <v>1091</v>
      </c>
      <c r="N127" s="7"/>
      <c r="O127" s="7"/>
      <c r="P127" s="7"/>
      <c r="Q127" s="6" t="s">
        <v>1093</v>
      </c>
    </row>
    <row r="128" customFormat="false" ht="15" hidden="false" customHeight="false" outlineLevel="0" collapsed="false">
      <c r="A128" s="5" t="s">
        <v>1094</v>
      </c>
      <c r="B128" s="6" t="s">
        <v>356</v>
      </c>
      <c r="C128" s="6" t="s">
        <v>1071</v>
      </c>
      <c r="D128" s="6" t="s">
        <v>358</v>
      </c>
      <c r="E128" s="6" t="s">
        <v>1095</v>
      </c>
      <c r="F128" s="6" t="s">
        <v>419</v>
      </c>
      <c r="G128" s="6" t="s">
        <v>474</v>
      </c>
      <c r="H128" s="6" t="s">
        <v>476</v>
      </c>
      <c r="I128" s="6" t="s">
        <v>1091</v>
      </c>
      <c r="J128" s="6" t="s">
        <v>476</v>
      </c>
      <c r="K128" s="6" t="s">
        <v>1096</v>
      </c>
      <c r="L128" s="6" t="s">
        <v>1091</v>
      </c>
      <c r="M128" s="7" t="s">
        <v>1091</v>
      </c>
      <c r="N128" s="7"/>
      <c r="O128" s="7"/>
      <c r="P128" s="7"/>
      <c r="Q128" s="6" t="s">
        <v>1097</v>
      </c>
    </row>
    <row r="129" customFormat="false" ht="22.35" hidden="false" customHeight="false" outlineLevel="0" collapsed="false">
      <c r="A129" s="5" t="s">
        <v>1098</v>
      </c>
      <c r="B129" s="6" t="s">
        <v>293</v>
      </c>
      <c r="C129" s="6" t="s">
        <v>296</v>
      </c>
      <c r="D129" s="6" t="s">
        <v>1099</v>
      </c>
      <c r="E129" s="6" t="s">
        <v>1100</v>
      </c>
      <c r="F129" s="6" t="s">
        <v>624</v>
      </c>
      <c r="G129" s="6" t="s">
        <v>443</v>
      </c>
      <c r="H129" s="6" t="s">
        <v>1101</v>
      </c>
      <c r="I129" s="6" t="s">
        <v>1102</v>
      </c>
      <c r="J129" s="6" t="s">
        <v>476</v>
      </c>
      <c r="K129" s="6" t="s">
        <v>1103</v>
      </c>
      <c r="L129" s="6" t="s">
        <v>425</v>
      </c>
      <c r="M129" s="7" t="s">
        <v>426</v>
      </c>
      <c r="N129" s="7"/>
      <c r="O129" s="7"/>
      <c r="P129" s="7"/>
      <c r="Q129" s="6"/>
    </row>
    <row r="130" customFormat="false" ht="15" hidden="false" customHeight="false" outlineLevel="0" collapsed="false">
      <c r="A130" s="5" t="s">
        <v>1104</v>
      </c>
      <c r="B130" s="6" t="s">
        <v>293</v>
      </c>
      <c r="C130" s="6" t="s">
        <v>296</v>
      </c>
      <c r="D130" s="6" t="s">
        <v>1099</v>
      </c>
      <c r="E130" s="6" t="s">
        <v>1105</v>
      </c>
      <c r="F130" s="6" t="s">
        <v>624</v>
      </c>
      <c r="G130" s="6" t="s">
        <v>443</v>
      </c>
      <c r="H130" s="6" t="s">
        <v>1106</v>
      </c>
      <c r="I130" s="6" t="s">
        <v>1107</v>
      </c>
      <c r="J130" s="6" t="s">
        <v>476</v>
      </c>
      <c r="K130" s="6" t="s">
        <v>1108</v>
      </c>
      <c r="L130" s="6" t="s">
        <v>425</v>
      </c>
      <c r="M130" s="7" t="s">
        <v>426</v>
      </c>
      <c r="N130" s="7"/>
      <c r="O130" s="7"/>
      <c r="P130" s="7"/>
      <c r="Q130" s="6"/>
    </row>
    <row r="131" customFormat="false" ht="15" hidden="false" customHeight="false" outlineLevel="0" collapsed="false">
      <c r="A131" s="5" t="s">
        <v>1109</v>
      </c>
      <c r="B131" s="6" t="s">
        <v>383</v>
      </c>
      <c r="C131" s="6" t="s">
        <v>296</v>
      </c>
      <c r="D131" s="6" t="s">
        <v>1099</v>
      </c>
      <c r="E131" s="6" t="s">
        <v>1110</v>
      </c>
      <c r="F131" s="6" t="s">
        <v>480</v>
      </c>
      <c r="G131" s="6" t="s">
        <v>443</v>
      </c>
      <c r="H131" s="6" t="s">
        <v>1111</v>
      </c>
      <c r="I131" s="6" t="s">
        <v>1112</v>
      </c>
      <c r="J131" s="6" t="s">
        <v>476</v>
      </c>
      <c r="K131" s="6" t="s">
        <v>730</v>
      </c>
      <c r="L131" s="6" t="s">
        <v>425</v>
      </c>
      <c r="M131" s="7" t="s">
        <v>485</v>
      </c>
      <c r="N131" s="7"/>
      <c r="O131" s="7"/>
      <c r="P131" s="7"/>
      <c r="Q131" s="6" t="s">
        <v>588</v>
      </c>
    </row>
    <row r="132" customFormat="false" ht="15" hidden="false" customHeight="false" outlineLevel="0" collapsed="false">
      <c r="A132" s="5" t="s">
        <v>1113</v>
      </c>
      <c r="B132" s="6" t="s">
        <v>293</v>
      </c>
      <c r="C132" s="6" t="s">
        <v>296</v>
      </c>
      <c r="D132" s="6" t="s">
        <v>1099</v>
      </c>
      <c r="E132" s="6" t="s">
        <v>1114</v>
      </c>
      <c r="F132" s="6" t="s">
        <v>624</v>
      </c>
      <c r="G132" s="6" t="s">
        <v>443</v>
      </c>
      <c r="H132" s="6" t="s">
        <v>476</v>
      </c>
      <c r="I132" s="6" t="s">
        <v>1115</v>
      </c>
      <c r="J132" s="6" t="s">
        <v>476</v>
      </c>
      <c r="K132" s="6" t="s">
        <v>1116</v>
      </c>
      <c r="L132" s="6" t="s">
        <v>448</v>
      </c>
      <c r="M132" s="7" t="s">
        <v>449</v>
      </c>
      <c r="N132" s="7"/>
      <c r="O132" s="7"/>
      <c r="P132" s="7"/>
      <c r="Q132" s="6"/>
    </row>
    <row r="133" customFormat="false" ht="15" hidden="false" customHeight="false" outlineLevel="0" collapsed="false">
      <c r="A133" s="5" t="s">
        <v>1117</v>
      </c>
      <c r="B133" s="6" t="s">
        <v>302</v>
      </c>
      <c r="C133" s="6" t="s">
        <v>296</v>
      </c>
      <c r="D133" s="6" t="s">
        <v>1099</v>
      </c>
      <c r="E133" s="6" t="s">
        <v>1118</v>
      </c>
      <c r="F133" s="6" t="s">
        <v>419</v>
      </c>
      <c r="G133" s="6" t="s">
        <v>443</v>
      </c>
      <c r="H133" s="6" t="s">
        <v>1119</v>
      </c>
      <c r="I133" s="6" t="s">
        <v>1120</v>
      </c>
      <c r="J133" s="6" t="s">
        <v>476</v>
      </c>
      <c r="K133" s="6" t="s">
        <v>1121</v>
      </c>
      <c r="L133" s="6" t="s">
        <v>448</v>
      </c>
      <c r="M133" s="7" t="s">
        <v>449</v>
      </c>
      <c r="N133" s="7"/>
      <c r="O133" s="7"/>
      <c r="P133" s="7"/>
      <c r="Q133" s="6"/>
    </row>
    <row r="134" customFormat="false" ht="15" hidden="false" customHeight="false" outlineLevel="0" collapsed="false">
      <c r="A134" s="5" t="s">
        <v>1122</v>
      </c>
      <c r="B134" s="6" t="s">
        <v>302</v>
      </c>
      <c r="C134" s="6" t="s">
        <v>296</v>
      </c>
      <c r="D134" s="6" t="s">
        <v>1099</v>
      </c>
      <c r="E134" s="6" t="s">
        <v>1123</v>
      </c>
      <c r="F134" s="6" t="s">
        <v>559</v>
      </c>
      <c r="G134" s="6" t="s">
        <v>474</v>
      </c>
      <c r="H134" s="6" t="s">
        <v>1124</v>
      </c>
      <c r="I134" s="6" t="s">
        <v>1125</v>
      </c>
      <c r="J134" s="6" t="s">
        <v>476</v>
      </c>
      <c r="K134" s="6" t="s">
        <v>1126</v>
      </c>
      <c r="L134" s="6" t="s">
        <v>448</v>
      </c>
      <c r="M134" s="7" t="s">
        <v>449</v>
      </c>
      <c r="N134" s="7"/>
      <c r="O134" s="7"/>
      <c r="P134" s="7"/>
      <c r="Q134" s="6" t="s">
        <v>1127</v>
      </c>
    </row>
    <row r="135" customFormat="false" ht="15" hidden="false" customHeight="false" outlineLevel="0" collapsed="false">
      <c r="A135" s="5" t="s">
        <v>1128</v>
      </c>
      <c r="B135" s="6" t="s">
        <v>318</v>
      </c>
      <c r="C135" s="6" t="s">
        <v>337</v>
      </c>
      <c r="D135" s="6" t="s">
        <v>1099</v>
      </c>
      <c r="E135" s="6" t="s">
        <v>1129</v>
      </c>
      <c r="F135" s="6" t="s">
        <v>559</v>
      </c>
      <c r="G135" s="6" t="s">
        <v>474</v>
      </c>
      <c r="H135" s="6" t="s">
        <v>118</v>
      </c>
      <c r="I135" s="6" t="s">
        <v>1130</v>
      </c>
      <c r="J135" s="6" t="s">
        <v>476</v>
      </c>
      <c r="K135" s="6" t="s">
        <v>1131</v>
      </c>
      <c r="L135" s="6" t="s">
        <v>448</v>
      </c>
      <c r="M135" s="7" t="s">
        <v>449</v>
      </c>
      <c r="N135" s="7"/>
      <c r="O135" s="7"/>
      <c r="P135" s="7"/>
      <c r="Q135" s="6"/>
    </row>
    <row r="136" customFormat="false" ht="15" hidden="false" customHeight="false" outlineLevel="0" collapsed="false">
      <c r="A136" s="5" t="s">
        <v>1132</v>
      </c>
      <c r="B136" s="6" t="s">
        <v>309</v>
      </c>
      <c r="C136" s="6" t="s">
        <v>312</v>
      </c>
      <c r="D136" s="6" t="s">
        <v>1099</v>
      </c>
      <c r="E136" s="6" t="s">
        <v>1133</v>
      </c>
      <c r="F136" s="6" t="s">
        <v>852</v>
      </c>
      <c r="G136" s="6" t="s">
        <v>443</v>
      </c>
      <c r="H136" s="6" t="s">
        <v>476</v>
      </c>
      <c r="I136" s="6" t="s">
        <v>1134</v>
      </c>
      <c r="J136" s="6" t="s">
        <v>476</v>
      </c>
      <c r="K136" s="6" t="s">
        <v>1135</v>
      </c>
      <c r="L136" s="6" t="s">
        <v>425</v>
      </c>
      <c r="M136" s="7" t="s">
        <v>426</v>
      </c>
      <c r="N136" s="7"/>
      <c r="O136" s="7"/>
      <c r="P136" s="7"/>
      <c r="Q136" s="6"/>
    </row>
    <row r="137" customFormat="false" ht="15" hidden="false" customHeight="false" outlineLevel="0" collapsed="false">
      <c r="A137" s="5" t="s">
        <v>1136</v>
      </c>
      <c r="B137" s="6" t="s">
        <v>309</v>
      </c>
      <c r="C137" s="6" t="s">
        <v>312</v>
      </c>
      <c r="D137" s="6" t="s">
        <v>1099</v>
      </c>
      <c r="E137" s="6" t="s">
        <v>453</v>
      </c>
      <c r="F137" s="6" t="s">
        <v>430</v>
      </c>
      <c r="G137" s="6" t="s">
        <v>443</v>
      </c>
      <c r="H137" s="6" t="s">
        <v>476</v>
      </c>
      <c r="I137" s="6" t="s">
        <v>1137</v>
      </c>
      <c r="J137" s="6" t="s">
        <v>476</v>
      </c>
      <c r="K137" s="6" t="s">
        <v>1138</v>
      </c>
      <c r="L137" s="6" t="s">
        <v>425</v>
      </c>
      <c r="M137" s="7" t="s">
        <v>449</v>
      </c>
      <c r="N137" s="7"/>
      <c r="O137" s="7"/>
      <c r="P137" s="7"/>
      <c r="Q137" s="6"/>
    </row>
    <row r="138" customFormat="false" ht="15" hidden="false" customHeight="false" outlineLevel="0" collapsed="false">
      <c r="A138" s="5" t="s">
        <v>1139</v>
      </c>
      <c r="B138" s="6" t="s">
        <v>309</v>
      </c>
      <c r="C138" s="6" t="s">
        <v>312</v>
      </c>
      <c r="D138" s="6" t="s">
        <v>1099</v>
      </c>
      <c r="E138" s="6" t="s">
        <v>1140</v>
      </c>
      <c r="F138" s="6" t="s">
        <v>419</v>
      </c>
      <c r="G138" s="6" t="s">
        <v>474</v>
      </c>
      <c r="H138" s="6" t="s">
        <v>1141</v>
      </c>
      <c r="I138" s="6" t="s">
        <v>1028</v>
      </c>
      <c r="J138" s="6" t="s">
        <v>476</v>
      </c>
      <c r="K138" s="6" t="s">
        <v>1142</v>
      </c>
      <c r="L138" s="6" t="s">
        <v>448</v>
      </c>
      <c r="M138" s="7" t="s">
        <v>449</v>
      </c>
      <c r="N138" s="7"/>
      <c r="O138" s="7"/>
      <c r="P138" s="7"/>
      <c r="Q138" s="6"/>
    </row>
    <row r="139" customFormat="false" ht="15" hidden="false" customHeight="false" outlineLevel="0" collapsed="false">
      <c r="A139" s="5" t="s">
        <v>1143</v>
      </c>
      <c r="B139" s="6" t="s">
        <v>309</v>
      </c>
      <c r="C139" s="6" t="s">
        <v>312</v>
      </c>
      <c r="D139" s="6" t="s">
        <v>1099</v>
      </c>
      <c r="E139" s="6" t="s">
        <v>1144</v>
      </c>
      <c r="F139" s="6" t="s">
        <v>852</v>
      </c>
      <c r="G139" s="6" t="s">
        <v>443</v>
      </c>
      <c r="H139" s="6" t="s">
        <v>476</v>
      </c>
      <c r="I139" s="6" t="s">
        <v>1145</v>
      </c>
      <c r="J139" s="6" t="s">
        <v>476</v>
      </c>
      <c r="K139" s="6" t="s">
        <v>1146</v>
      </c>
      <c r="L139" s="6" t="s">
        <v>448</v>
      </c>
      <c r="M139" s="7" t="s">
        <v>449</v>
      </c>
      <c r="N139" s="7"/>
      <c r="O139" s="7"/>
      <c r="P139" s="7"/>
      <c r="Q139" s="6"/>
    </row>
    <row r="140" customFormat="false" ht="22.35" hidden="false" customHeight="false" outlineLevel="0" collapsed="false">
      <c r="A140" s="5" t="s">
        <v>1147</v>
      </c>
      <c r="B140" s="6" t="s">
        <v>342</v>
      </c>
      <c r="C140" s="6" t="s">
        <v>337</v>
      </c>
      <c r="D140" s="6" t="s">
        <v>1148</v>
      </c>
      <c r="E140" s="6" t="s">
        <v>1149</v>
      </c>
      <c r="F140" s="6" t="s">
        <v>419</v>
      </c>
      <c r="G140" s="6" t="s">
        <v>443</v>
      </c>
      <c r="H140" s="6" t="s">
        <v>118</v>
      </c>
      <c r="I140" s="6" t="s">
        <v>1150</v>
      </c>
      <c r="J140" s="6" t="s">
        <v>1151</v>
      </c>
      <c r="K140" s="6" t="s">
        <v>1152</v>
      </c>
      <c r="L140" s="6" t="s">
        <v>425</v>
      </c>
      <c r="M140" s="7" t="s">
        <v>426</v>
      </c>
      <c r="N140" s="7"/>
      <c r="O140" s="7"/>
      <c r="P140" s="7"/>
      <c r="Q140" s="6"/>
    </row>
    <row r="141" customFormat="false" ht="22.35" hidden="false" customHeight="false" outlineLevel="0" collapsed="false">
      <c r="A141" s="5" t="s">
        <v>1153</v>
      </c>
      <c r="B141" s="6" t="s">
        <v>334</v>
      </c>
      <c r="C141" s="6" t="s">
        <v>337</v>
      </c>
      <c r="D141" s="6" t="s">
        <v>1148</v>
      </c>
      <c r="E141" s="6" t="s">
        <v>1154</v>
      </c>
      <c r="F141" s="6" t="s">
        <v>419</v>
      </c>
      <c r="G141" s="6" t="s">
        <v>443</v>
      </c>
      <c r="H141" s="6" t="s">
        <v>118</v>
      </c>
      <c r="I141" s="6" t="s">
        <v>1155</v>
      </c>
      <c r="J141" s="6" t="s">
        <v>759</v>
      </c>
      <c r="K141" s="6" t="s">
        <v>1156</v>
      </c>
      <c r="L141" s="6" t="s">
        <v>448</v>
      </c>
      <c r="M141" s="7" t="s">
        <v>449</v>
      </c>
      <c r="N141" s="7"/>
      <c r="O141" s="7"/>
      <c r="P141" s="7"/>
      <c r="Q141" s="6"/>
    </row>
    <row r="142" customFormat="false" ht="22.35" hidden="false" customHeight="false" outlineLevel="0" collapsed="false">
      <c r="A142" s="5" t="s">
        <v>1157</v>
      </c>
      <c r="B142" s="6" t="s">
        <v>326</v>
      </c>
      <c r="C142" s="6" t="s">
        <v>329</v>
      </c>
      <c r="D142" s="6" t="s">
        <v>1148</v>
      </c>
      <c r="E142" s="6" t="s">
        <v>1158</v>
      </c>
      <c r="F142" s="6" t="s">
        <v>419</v>
      </c>
      <c r="G142" s="6" t="s">
        <v>420</v>
      </c>
      <c r="H142" s="6" t="s">
        <v>1159</v>
      </c>
      <c r="I142" s="6" t="s">
        <v>1160</v>
      </c>
      <c r="J142" s="6" t="s">
        <v>476</v>
      </c>
      <c r="K142" s="6" t="s">
        <v>1161</v>
      </c>
      <c r="L142" s="6" t="s">
        <v>448</v>
      </c>
      <c r="M142" s="7" t="s">
        <v>449</v>
      </c>
      <c r="N142" s="7"/>
      <c r="O142" s="7"/>
      <c r="P142" s="7"/>
      <c r="Q142" s="6" t="s">
        <v>1162</v>
      </c>
    </row>
    <row r="143" customFormat="false" ht="22.35" hidden="false" customHeight="false" outlineLevel="0" collapsed="false">
      <c r="A143" s="5" t="s">
        <v>1163</v>
      </c>
      <c r="B143" s="6" t="s">
        <v>326</v>
      </c>
      <c r="C143" s="6" t="s">
        <v>329</v>
      </c>
      <c r="D143" s="6" t="s">
        <v>1148</v>
      </c>
      <c r="E143" s="6" t="s">
        <v>1164</v>
      </c>
      <c r="F143" s="6" t="s">
        <v>480</v>
      </c>
      <c r="G143" s="6" t="s">
        <v>420</v>
      </c>
      <c r="H143" s="6" t="s">
        <v>483</v>
      </c>
      <c r="I143" s="6" t="s">
        <v>1165</v>
      </c>
      <c r="J143" s="6" t="s">
        <v>476</v>
      </c>
      <c r="K143" s="6" t="s">
        <v>1166</v>
      </c>
      <c r="L143" s="6" t="s">
        <v>448</v>
      </c>
      <c r="M143" s="7" t="s">
        <v>449</v>
      </c>
      <c r="N143" s="7"/>
      <c r="O143" s="7"/>
      <c r="P143" s="7"/>
      <c r="Q143" s="6"/>
    </row>
    <row r="144" customFormat="false" ht="22.35" hidden="false" customHeight="false" outlineLevel="0" collapsed="false">
      <c r="A144" s="5" t="s">
        <v>1167</v>
      </c>
      <c r="B144" s="6" t="s">
        <v>326</v>
      </c>
      <c r="C144" s="6" t="s">
        <v>329</v>
      </c>
      <c r="D144" s="6" t="s">
        <v>1148</v>
      </c>
      <c r="E144" s="6" t="s">
        <v>1168</v>
      </c>
      <c r="F144" s="6" t="s">
        <v>480</v>
      </c>
      <c r="G144" s="6" t="s">
        <v>420</v>
      </c>
      <c r="H144" s="6" t="s">
        <v>1169</v>
      </c>
      <c r="I144" s="6" t="s">
        <v>1170</v>
      </c>
      <c r="J144" s="6" t="s">
        <v>476</v>
      </c>
      <c r="K144" s="6" t="s">
        <v>1171</v>
      </c>
      <c r="L144" s="6" t="s">
        <v>448</v>
      </c>
      <c r="M144" s="7" t="s">
        <v>449</v>
      </c>
      <c r="N144" s="7"/>
      <c r="O144" s="7"/>
      <c r="P144" s="7"/>
      <c r="Q144" s="6"/>
    </row>
    <row r="145" customFormat="false" ht="22.35" hidden="false" customHeight="false" outlineLevel="0" collapsed="false">
      <c r="A145" s="5" t="s">
        <v>1172</v>
      </c>
      <c r="B145" s="6" t="s">
        <v>326</v>
      </c>
      <c r="C145" s="6" t="s">
        <v>329</v>
      </c>
      <c r="D145" s="6" t="s">
        <v>1148</v>
      </c>
      <c r="E145" s="6" t="s">
        <v>1173</v>
      </c>
      <c r="F145" s="6" t="s">
        <v>480</v>
      </c>
      <c r="G145" s="6" t="s">
        <v>420</v>
      </c>
      <c r="H145" s="6" t="s">
        <v>1174</v>
      </c>
      <c r="I145" s="6" t="s">
        <v>1170</v>
      </c>
      <c r="J145" s="6" t="s">
        <v>476</v>
      </c>
      <c r="K145" s="6" t="s">
        <v>1175</v>
      </c>
      <c r="L145" s="6" t="s">
        <v>448</v>
      </c>
      <c r="M145" s="7" t="s">
        <v>449</v>
      </c>
      <c r="N145" s="7"/>
      <c r="O145" s="7"/>
      <c r="P145" s="7"/>
      <c r="Q145" s="6"/>
    </row>
    <row r="146" customFormat="false" ht="22.35" hidden="false" customHeight="false" outlineLevel="0" collapsed="false">
      <c r="A146" s="5" t="s">
        <v>1176</v>
      </c>
      <c r="B146" s="6" t="s">
        <v>326</v>
      </c>
      <c r="C146" s="6" t="s">
        <v>329</v>
      </c>
      <c r="D146" s="6" t="s">
        <v>1148</v>
      </c>
      <c r="E146" s="6" t="s">
        <v>1177</v>
      </c>
      <c r="F146" s="6" t="s">
        <v>480</v>
      </c>
      <c r="G146" s="6" t="s">
        <v>420</v>
      </c>
      <c r="H146" s="6" t="s">
        <v>483</v>
      </c>
      <c r="I146" s="6" t="s">
        <v>1178</v>
      </c>
      <c r="J146" s="6" t="s">
        <v>476</v>
      </c>
      <c r="K146" s="6" t="s">
        <v>730</v>
      </c>
      <c r="L146" s="6" t="s">
        <v>448</v>
      </c>
      <c r="M146" s="7" t="s">
        <v>485</v>
      </c>
      <c r="N146" s="7"/>
      <c r="O146" s="7"/>
      <c r="P146" s="7"/>
      <c r="Q146" s="6"/>
    </row>
    <row r="147" customFormat="false" ht="22.35" hidden="false" customHeight="false" outlineLevel="0" collapsed="false">
      <c r="A147" s="5" t="s">
        <v>1179</v>
      </c>
      <c r="B147" s="6" t="s">
        <v>326</v>
      </c>
      <c r="C147" s="6" t="s">
        <v>329</v>
      </c>
      <c r="D147" s="6" t="s">
        <v>1148</v>
      </c>
      <c r="E147" s="6" t="s">
        <v>1180</v>
      </c>
      <c r="F147" s="6" t="s">
        <v>852</v>
      </c>
      <c r="G147" s="6" t="s">
        <v>420</v>
      </c>
      <c r="H147" s="6" t="s">
        <v>476</v>
      </c>
      <c r="I147" s="6" t="s">
        <v>1181</v>
      </c>
      <c r="J147" s="6" t="s">
        <v>476</v>
      </c>
      <c r="K147" s="6" t="s">
        <v>1182</v>
      </c>
      <c r="L147" s="6" t="s">
        <v>448</v>
      </c>
      <c r="M147" s="7" t="s">
        <v>1183</v>
      </c>
      <c r="N147" s="7"/>
      <c r="O147" s="7"/>
      <c r="P147" s="7"/>
      <c r="Q147" s="6" t="s">
        <v>1184</v>
      </c>
    </row>
    <row r="148" customFormat="false" ht="22.35" hidden="false" customHeight="false" outlineLevel="0" collapsed="false">
      <c r="A148" s="5" t="s">
        <v>1185</v>
      </c>
      <c r="B148" s="6" t="s">
        <v>342</v>
      </c>
      <c r="C148" s="6" t="s">
        <v>337</v>
      </c>
      <c r="D148" s="6" t="s">
        <v>1148</v>
      </c>
      <c r="E148" s="6" t="s">
        <v>1186</v>
      </c>
      <c r="F148" s="6" t="s">
        <v>559</v>
      </c>
      <c r="G148" s="6" t="s">
        <v>474</v>
      </c>
      <c r="H148" s="6" t="s">
        <v>118</v>
      </c>
      <c r="I148" s="6" t="s">
        <v>1187</v>
      </c>
      <c r="J148" s="6" t="s">
        <v>476</v>
      </c>
      <c r="K148" s="6" t="s">
        <v>1188</v>
      </c>
      <c r="L148" s="6" t="s">
        <v>448</v>
      </c>
      <c r="M148" s="7" t="s">
        <v>449</v>
      </c>
      <c r="N148" s="7"/>
      <c r="O148" s="7"/>
      <c r="P148" s="7"/>
      <c r="Q148" s="6" t="s">
        <v>876</v>
      </c>
    </row>
    <row r="149" customFormat="false" ht="15" hidden="false" customHeight="false" outlineLevel="0" collapsed="false">
      <c r="A149" s="5" t="s">
        <v>1189</v>
      </c>
      <c r="B149" s="6" t="s">
        <v>383</v>
      </c>
      <c r="C149" s="6" t="s">
        <v>173</v>
      </c>
      <c r="D149" s="6" t="s">
        <v>385</v>
      </c>
      <c r="E149" s="6" t="s">
        <v>1190</v>
      </c>
      <c r="F149" s="6" t="s">
        <v>480</v>
      </c>
      <c r="G149" s="6" t="s">
        <v>420</v>
      </c>
      <c r="H149" s="6" t="s">
        <v>1191</v>
      </c>
      <c r="I149" s="6" t="s">
        <v>1192</v>
      </c>
      <c r="J149" s="6" t="s">
        <v>476</v>
      </c>
      <c r="K149" s="6" t="s">
        <v>730</v>
      </c>
      <c r="L149" s="6" t="s">
        <v>425</v>
      </c>
      <c r="M149" s="7" t="s">
        <v>485</v>
      </c>
      <c r="N149" s="7"/>
      <c r="O149" s="7"/>
      <c r="P149" s="7"/>
      <c r="Q149" s="6" t="s">
        <v>588</v>
      </c>
    </row>
    <row r="150" customFormat="false" ht="15" hidden="false" customHeight="false" outlineLevel="0" collapsed="false">
      <c r="A150" s="5" t="s">
        <v>1193</v>
      </c>
      <c r="B150" s="6" t="s">
        <v>383</v>
      </c>
      <c r="C150" s="6" t="s">
        <v>661</v>
      </c>
      <c r="D150" s="6" t="s">
        <v>385</v>
      </c>
      <c r="E150" s="6" t="s">
        <v>1194</v>
      </c>
      <c r="F150" s="6" t="s">
        <v>480</v>
      </c>
      <c r="G150" s="6" t="s">
        <v>420</v>
      </c>
      <c r="H150" s="6" t="s">
        <v>1195</v>
      </c>
      <c r="I150" s="6" t="s">
        <v>1112</v>
      </c>
      <c r="J150" s="6" t="s">
        <v>476</v>
      </c>
      <c r="K150" s="6" t="s">
        <v>1196</v>
      </c>
      <c r="L150" s="6" t="s">
        <v>425</v>
      </c>
      <c r="M150" s="7" t="s">
        <v>485</v>
      </c>
      <c r="N150" s="7"/>
      <c r="O150" s="7"/>
      <c r="P150" s="7"/>
      <c r="Q150" s="6"/>
    </row>
    <row r="151" customFormat="false" ht="22.35" hidden="false" customHeight="false" outlineLevel="0" collapsed="false">
      <c r="A151" s="5" t="s">
        <v>1197</v>
      </c>
      <c r="B151" s="6" t="s">
        <v>383</v>
      </c>
      <c r="C151" s="6" t="s">
        <v>235</v>
      </c>
      <c r="D151" s="6" t="s">
        <v>385</v>
      </c>
      <c r="E151" s="6" t="s">
        <v>1198</v>
      </c>
      <c r="F151" s="6" t="s">
        <v>480</v>
      </c>
      <c r="G151" s="6" t="s">
        <v>420</v>
      </c>
      <c r="H151" s="6" t="s">
        <v>759</v>
      </c>
      <c r="I151" s="6" t="s">
        <v>1199</v>
      </c>
      <c r="J151" s="6" t="s">
        <v>476</v>
      </c>
      <c r="K151" s="6" t="s">
        <v>1200</v>
      </c>
      <c r="L151" s="6" t="s">
        <v>425</v>
      </c>
      <c r="M151" s="7" t="s">
        <v>485</v>
      </c>
      <c r="N151" s="7"/>
      <c r="O151" s="7"/>
      <c r="P151" s="7"/>
      <c r="Q151" s="6" t="s">
        <v>1201</v>
      </c>
    </row>
    <row r="152" customFormat="false" ht="15" hidden="false" customHeight="false" outlineLevel="0" collapsed="false">
      <c r="A152" s="5" t="s">
        <v>1202</v>
      </c>
      <c r="B152" s="6" t="s">
        <v>293</v>
      </c>
      <c r="C152" s="6" t="s">
        <v>387</v>
      </c>
      <c r="D152" s="6" t="s">
        <v>385</v>
      </c>
      <c r="E152" s="6" t="s">
        <v>1203</v>
      </c>
      <c r="F152" s="6" t="s">
        <v>480</v>
      </c>
      <c r="G152" s="6" t="s">
        <v>420</v>
      </c>
      <c r="H152" s="6" t="s">
        <v>1204</v>
      </c>
      <c r="I152" s="6" t="s">
        <v>1205</v>
      </c>
      <c r="J152" s="6" t="s">
        <v>476</v>
      </c>
      <c r="K152" s="6" t="s">
        <v>1206</v>
      </c>
      <c r="L152" s="6" t="s">
        <v>425</v>
      </c>
      <c r="M152" s="7" t="s">
        <v>449</v>
      </c>
      <c r="N152" s="7"/>
      <c r="O152" s="7"/>
      <c r="P152" s="7"/>
      <c r="Q152" s="6"/>
    </row>
    <row r="153" customFormat="false" ht="15" hidden="false" customHeight="false" outlineLevel="0" collapsed="false">
      <c r="A153" s="5" t="s">
        <v>1207</v>
      </c>
      <c r="B153" s="6" t="s">
        <v>383</v>
      </c>
      <c r="C153" s="6" t="s">
        <v>387</v>
      </c>
      <c r="D153" s="6" t="s">
        <v>385</v>
      </c>
      <c r="E153" s="6" t="s">
        <v>1208</v>
      </c>
      <c r="F153" s="6" t="s">
        <v>480</v>
      </c>
      <c r="G153" s="6" t="s">
        <v>443</v>
      </c>
      <c r="H153" s="6" t="s">
        <v>476</v>
      </c>
      <c r="I153" s="6" t="s">
        <v>1209</v>
      </c>
      <c r="J153" s="6" t="s">
        <v>476</v>
      </c>
      <c r="K153" s="6" t="s">
        <v>730</v>
      </c>
      <c r="L153" s="6" t="s">
        <v>448</v>
      </c>
      <c r="M153" s="7" t="s">
        <v>485</v>
      </c>
      <c r="N153" s="7"/>
      <c r="O153" s="7"/>
      <c r="P153" s="7"/>
      <c r="Q153" s="6"/>
    </row>
    <row r="154" customFormat="false" ht="15" hidden="false" customHeight="false" outlineLevel="0" collapsed="false">
      <c r="A154" s="5" t="s">
        <v>1210</v>
      </c>
      <c r="B154" s="6" t="s">
        <v>383</v>
      </c>
      <c r="C154" s="6" t="s">
        <v>252</v>
      </c>
      <c r="D154" s="6" t="s">
        <v>385</v>
      </c>
      <c r="E154" s="6" t="s">
        <v>1211</v>
      </c>
      <c r="F154" s="6" t="s">
        <v>480</v>
      </c>
      <c r="G154" s="6" t="s">
        <v>420</v>
      </c>
      <c r="H154" s="6" t="s">
        <v>71</v>
      </c>
      <c r="I154" s="6" t="s">
        <v>1212</v>
      </c>
      <c r="J154" s="6" t="s">
        <v>476</v>
      </c>
      <c r="K154" s="6" t="s">
        <v>730</v>
      </c>
      <c r="L154" s="6" t="s">
        <v>448</v>
      </c>
      <c r="M154" s="7" t="s">
        <v>485</v>
      </c>
      <c r="N154" s="7"/>
      <c r="O154" s="7"/>
      <c r="P154" s="7"/>
      <c r="Q154" s="6"/>
    </row>
    <row r="155" customFormat="false" ht="15" hidden="false" customHeight="false" outlineLevel="0" collapsed="false">
      <c r="A155" s="5" t="s">
        <v>1213</v>
      </c>
      <c r="B155" s="6" t="s">
        <v>383</v>
      </c>
      <c r="C155" s="6" t="s">
        <v>387</v>
      </c>
      <c r="D155" s="6" t="s">
        <v>385</v>
      </c>
      <c r="E155" s="6" t="s">
        <v>1214</v>
      </c>
      <c r="F155" s="6" t="s">
        <v>1215</v>
      </c>
      <c r="G155" s="6" t="s">
        <v>1216</v>
      </c>
      <c r="H155" s="6" t="s">
        <v>1217</v>
      </c>
      <c r="I155" s="6" t="s">
        <v>1218</v>
      </c>
      <c r="J155" s="6" t="s">
        <v>476</v>
      </c>
      <c r="K155" s="6" t="s">
        <v>1219</v>
      </c>
      <c r="L155" s="6" t="s">
        <v>448</v>
      </c>
      <c r="M155" s="7" t="s">
        <v>449</v>
      </c>
      <c r="N155" s="7"/>
      <c r="O155" s="7"/>
      <c r="P155" s="7"/>
      <c r="Q155" s="6" t="s">
        <v>1220</v>
      </c>
    </row>
    <row r="156" customFormat="false" ht="15" hidden="false" customHeight="false" outlineLevel="0" collapsed="false">
      <c r="A156" s="5" t="s">
        <v>1221</v>
      </c>
      <c r="B156" s="6" t="s">
        <v>393</v>
      </c>
      <c r="C156" s="6" t="s">
        <v>1222</v>
      </c>
      <c r="D156" s="6" t="s">
        <v>1223</v>
      </c>
      <c r="E156" s="6" t="s">
        <v>1224</v>
      </c>
      <c r="F156" s="6" t="s">
        <v>419</v>
      </c>
      <c r="G156" s="6" t="s">
        <v>443</v>
      </c>
      <c r="H156" s="6" t="s">
        <v>1225</v>
      </c>
      <c r="I156" s="6" t="s">
        <v>1226</v>
      </c>
      <c r="J156" s="6" t="s">
        <v>476</v>
      </c>
      <c r="K156" s="6" t="s">
        <v>1227</v>
      </c>
      <c r="L156" s="6" t="s">
        <v>425</v>
      </c>
      <c r="M156" s="7" t="s">
        <v>449</v>
      </c>
      <c r="N156" s="7"/>
      <c r="O156" s="7"/>
      <c r="P156" s="7"/>
      <c r="Q156" s="6"/>
    </row>
    <row r="157" customFormat="false" ht="15" hidden="false" customHeight="false" outlineLevel="0" collapsed="false">
      <c r="A157" s="5" t="s">
        <v>1228</v>
      </c>
      <c r="B157" s="6" t="s">
        <v>393</v>
      </c>
      <c r="C157" s="6" t="s">
        <v>1222</v>
      </c>
      <c r="D157" s="6" t="s">
        <v>1223</v>
      </c>
      <c r="E157" s="6" t="s">
        <v>1229</v>
      </c>
      <c r="F157" s="6" t="s">
        <v>419</v>
      </c>
      <c r="G157" s="6" t="s">
        <v>443</v>
      </c>
      <c r="H157" s="6" t="s">
        <v>1230</v>
      </c>
      <c r="I157" s="6" t="s">
        <v>1231</v>
      </c>
      <c r="J157" s="6" t="s">
        <v>476</v>
      </c>
      <c r="K157" s="6" t="s">
        <v>1232</v>
      </c>
      <c r="L157" s="6" t="s">
        <v>425</v>
      </c>
      <c r="M157" s="7" t="s">
        <v>449</v>
      </c>
      <c r="N157" s="7"/>
      <c r="O157" s="7"/>
      <c r="P157" s="7"/>
      <c r="Q157" s="6"/>
    </row>
    <row r="158" customFormat="false" ht="15" hidden="false" customHeight="false" outlineLevel="0" collapsed="false">
      <c r="A158" s="5" t="s">
        <v>1233</v>
      </c>
      <c r="B158" s="6" t="s">
        <v>334</v>
      </c>
      <c r="C158" s="6" t="s">
        <v>337</v>
      </c>
      <c r="D158" s="6" t="s">
        <v>1223</v>
      </c>
      <c r="E158" s="6" t="s">
        <v>1234</v>
      </c>
      <c r="F158" s="6" t="s">
        <v>419</v>
      </c>
      <c r="G158" s="6" t="s">
        <v>443</v>
      </c>
      <c r="H158" s="6" t="s">
        <v>118</v>
      </c>
      <c r="I158" s="6" t="s">
        <v>1235</v>
      </c>
      <c r="J158" s="6" t="s">
        <v>476</v>
      </c>
      <c r="K158" s="6" t="s">
        <v>1236</v>
      </c>
      <c r="L158" s="6" t="s">
        <v>425</v>
      </c>
      <c r="M158" s="7" t="s">
        <v>449</v>
      </c>
      <c r="N158" s="7"/>
      <c r="O158" s="7"/>
      <c r="P158" s="7"/>
      <c r="Q158" s="6" t="s">
        <v>1237</v>
      </c>
    </row>
    <row r="159" customFormat="false" ht="15" hidden="false" customHeight="false" outlineLevel="0" collapsed="false">
      <c r="A159" s="5" t="s">
        <v>1238</v>
      </c>
      <c r="B159" s="6" t="s">
        <v>476</v>
      </c>
      <c r="C159" s="6" t="s">
        <v>1239</v>
      </c>
      <c r="D159" s="6" t="s">
        <v>1223</v>
      </c>
      <c r="E159" s="6" t="s">
        <v>1240</v>
      </c>
      <c r="F159" s="6" t="s">
        <v>852</v>
      </c>
      <c r="G159" s="6" t="s">
        <v>420</v>
      </c>
      <c r="H159" s="6" t="s">
        <v>1241</v>
      </c>
      <c r="I159" s="6" t="s">
        <v>1242</v>
      </c>
      <c r="J159" s="6" t="s">
        <v>476</v>
      </c>
      <c r="K159" s="6" t="s">
        <v>1243</v>
      </c>
      <c r="L159" s="6" t="s">
        <v>501</v>
      </c>
      <c r="M159" s="7" t="s">
        <v>1183</v>
      </c>
      <c r="N159" s="7"/>
      <c r="O159" s="7"/>
      <c r="P159" s="7"/>
      <c r="Q159" s="6" t="s">
        <v>1244</v>
      </c>
    </row>
    <row r="160" customFormat="false" ht="15" hidden="false" customHeight="false" outlineLevel="0" collapsed="false">
      <c r="A160" s="5" t="s">
        <v>1245</v>
      </c>
      <c r="B160" s="6" t="s">
        <v>476</v>
      </c>
      <c r="C160" s="6" t="s">
        <v>1239</v>
      </c>
      <c r="D160" s="6" t="s">
        <v>1223</v>
      </c>
      <c r="E160" s="6" t="s">
        <v>1246</v>
      </c>
      <c r="F160" s="6" t="s">
        <v>1247</v>
      </c>
      <c r="G160" s="6" t="s">
        <v>420</v>
      </c>
      <c r="H160" s="6" t="s">
        <v>1241</v>
      </c>
      <c r="I160" s="6" t="s">
        <v>1248</v>
      </c>
      <c r="J160" s="6" t="s">
        <v>476</v>
      </c>
      <c r="K160" s="6" t="s">
        <v>1249</v>
      </c>
      <c r="L160" s="6" t="s">
        <v>425</v>
      </c>
      <c r="M160" s="7" t="s">
        <v>1183</v>
      </c>
      <c r="N160" s="7"/>
      <c r="O160" s="7"/>
      <c r="P160" s="7"/>
      <c r="Q160" s="6"/>
    </row>
    <row r="161" customFormat="false" ht="15" hidden="false" customHeight="false" outlineLevel="0" collapsed="false">
      <c r="A161" s="5" t="s">
        <v>1250</v>
      </c>
      <c r="B161" s="6" t="s">
        <v>476</v>
      </c>
      <c r="C161" s="6" t="s">
        <v>1239</v>
      </c>
      <c r="D161" s="6" t="s">
        <v>1223</v>
      </c>
      <c r="E161" s="6" t="s">
        <v>1251</v>
      </c>
      <c r="F161" s="6" t="s">
        <v>1252</v>
      </c>
      <c r="G161" s="6" t="s">
        <v>420</v>
      </c>
      <c r="H161" s="6" t="s">
        <v>1241</v>
      </c>
      <c r="I161" s="6" t="s">
        <v>1253</v>
      </c>
      <c r="J161" s="6" t="s">
        <v>476</v>
      </c>
      <c r="K161" s="6" t="s">
        <v>1254</v>
      </c>
      <c r="L161" s="6" t="s">
        <v>501</v>
      </c>
      <c r="M161" s="7" t="s">
        <v>1183</v>
      </c>
      <c r="N161" s="7"/>
      <c r="O161" s="7"/>
      <c r="P161" s="7"/>
      <c r="Q161" s="6" t="s">
        <v>1255</v>
      </c>
    </row>
    <row r="162" customFormat="false" ht="15" hidden="false" customHeight="false" outlineLevel="0" collapsed="false">
      <c r="A162" s="5" t="s">
        <v>1256</v>
      </c>
      <c r="B162" s="6" t="s">
        <v>476</v>
      </c>
      <c r="C162" s="6" t="s">
        <v>1239</v>
      </c>
      <c r="D162" s="6" t="s">
        <v>1223</v>
      </c>
      <c r="E162" s="6" t="s">
        <v>1257</v>
      </c>
      <c r="F162" s="6" t="s">
        <v>852</v>
      </c>
      <c r="G162" s="6" t="s">
        <v>420</v>
      </c>
      <c r="H162" s="6" t="s">
        <v>1258</v>
      </c>
      <c r="I162" s="6" t="s">
        <v>1259</v>
      </c>
      <c r="J162" s="6" t="s">
        <v>476</v>
      </c>
      <c r="K162" s="6" t="s">
        <v>1243</v>
      </c>
      <c r="L162" s="6" t="s">
        <v>501</v>
      </c>
      <c r="M162" s="7" t="s">
        <v>1183</v>
      </c>
      <c r="N162" s="7"/>
      <c r="O162" s="7"/>
      <c r="P162" s="7"/>
      <c r="Q162" s="6" t="s">
        <v>1260</v>
      </c>
    </row>
    <row r="163" customFormat="false" ht="15" hidden="false" customHeight="false" outlineLevel="0" collapsed="false">
      <c r="A163" s="5" t="s">
        <v>1261</v>
      </c>
      <c r="B163" s="6" t="s">
        <v>365</v>
      </c>
      <c r="C163" s="6" t="s">
        <v>369</v>
      </c>
      <c r="D163" s="6" t="s">
        <v>1223</v>
      </c>
      <c r="E163" s="6" t="s">
        <v>1262</v>
      </c>
      <c r="F163" s="6" t="s">
        <v>624</v>
      </c>
      <c r="G163" s="6" t="s">
        <v>443</v>
      </c>
      <c r="H163" s="6" t="s">
        <v>1051</v>
      </c>
      <c r="I163" s="6" t="s">
        <v>1263</v>
      </c>
      <c r="J163" s="6" t="s">
        <v>476</v>
      </c>
      <c r="K163" s="6" t="s">
        <v>1264</v>
      </c>
      <c r="L163" s="6" t="s">
        <v>425</v>
      </c>
      <c r="M163" s="7" t="s">
        <v>1183</v>
      </c>
      <c r="N163" s="7"/>
      <c r="O163" s="7"/>
      <c r="P163" s="7"/>
      <c r="Q163" s="6" t="s">
        <v>1265</v>
      </c>
    </row>
    <row r="164" customFormat="false" ht="22.35" hidden="false" customHeight="false" outlineLevel="0" collapsed="false">
      <c r="A164" s="5" t="s">
        <v>1266</v>
      </c>
      <c r="B164" s="6" t="s">
        <v>476</v>
      </c>
      <c r="C164" s="6" t="s">
        <v>1267</v>
      </c>
      <c r="D164" s="6" t="s">
        <v>1223</v>
      </c>
      <c r="E164" s="6" t="s">
        <v>1268</v>
      </c>
      <c r="F164" s="6" t="s">
        <v>1269</v>
      </c>
      <c r="G164" s="6" t="s">
        <v>420</v>
      </c>
      <c r="H164" s="6" t="s">
        <v>1270</v>
      </c>
      <c r="I164" s="6" t="s">
        <v>1271</v>
      </c>
      <c r="J164" s="6" t="s">
        <v>476</v>
      </c>
      <c r="K164" s="6" t="s">
        <v>1272</v>
      </c>
      <c r="L164" s="6" t="s">
        <v>425</v>
      </c>
      <c r="M164" s="7" t="s">
        <v>449</v>
      </c>
      <c r="N164" s="7"/>
      <c r="O164" s="7"/>
      <c r="P164" s="7"/>
      <c r="Q164" s="6"/>
    </row>
    <row r="165" customFormat="false" ht="22.35" hidden="false" customHeight="false" outlineLevel="0" collapsed="false">
      <c r="A165" s="5" t="s">
        <v>1273</v>
      </c>
      <c r="B165" s="6" t="s">
        <v>476</v>
      </c>
      <c r="C165" s="6" t="s">
        <v>1267</v>
      </c>
      <c r="D165" s="6" t="s">
        <v>1223</v>
      </c>
      <c r="E165" s="6" t="s">
        <v>1274</v>
      </c>
      <c r="F165" s="6" t="s">
        <v>1269</v>
      </c>
      <c r="G165" s="6" t="s">
        <v>443</v>
      </c>
      <c r="H165" s="6" t="s">
        <v>1270</v>
      </c>
      <c r="I165" s="6" t="s">
        <v>1275</v>
      </c>
      <c r="J165" s="6" t="s">
        <v>476</v>
      </c>
      <c r="K165" s="6" t="s">
        <v>1276</v>
      </c>
      <c r="L165" s="6" t="s">
        <v>448</v>
      </c>
      <c r="M165" s="7" t="s">
        <v>449</v>
      </c>
      <c r="N165" s="7"/>
      <c r="O165" s="7"/>
      <c r="P165" s="7"/>
      <c r="Q165" s="6" t="s">
        <v>1277</v>
      </c>
    </row>
    <row r="166" customFormat="false" ht="15" hidden="false" customHeight="false" outlineLevel="0" collapsed="false">
      <c r="A166" s="5" t="s">
        <v>1278</v>
      </c>
      <c r="B166" s="6" t="s">
        <v>476</v>
      </c>
      <c r="C166" s="6" t="s">
        <v>1267</v>
      </c>
      <c r="D166" s="6" t="s">
        <v>1223</v>
      </c>
      <c r="E166" s="6" t="s">
        <v>1279</v>
      </c>
      <c r="F166" s="6" t="s">
        <v>559</v>
      </c>
      <c r="G166" s="6" t="s">
        <v>474</v>
      </c>
      <c r="H166" s="6" t="s">
        <v>476</v>
      </c>
      <c r="I166" s="6" t="s">
        <v>1280</v>
      </c>
      <c r="J166" s="6" t="s">
        <v>476</v>
      </c>
      <c r="K166" s="6" t="s">
        <v>1281</v>
      </c>
      <c r="L166" s="6" t="s">
        <v>448</v>
      </c>
      <c r="M166" s="7" t="s">
        <v>449</v>
      </c>
      <c r="N166" s="7"/>
      <c r="O166" s="7"/>
      <c r="P166" s="7"/>
      <c r="Q166" s="6" t="s">
        <v>1282</v>
      </c>
    </row>
    <row r="167" customFormat="false" ht="43.25" hidden="false" customHeight="false" outlineLevel="0" collapsed="false">
      <c r="A167" s="5" t="s">
        <v>1283</v>
      </c>
      <c r="B167" s="6" t="s">
        <v>476</v>
      </c>
      <c r="C167" s="6" t="s">
        <v>1239</v>
      </c>
      <c r="D167" s="6" t="s">
        <v>1223</v>
      </c>
      <c r="E167" s="6" t="s">
        <v>1284</v>
      </c>
      <c r="F167" s="6" t="s">
        <v>1285</v>
      </c>
      <c r="G167" s="6" t="s">
        <v>1216</v>
      </c>
      <c r="H167" s="6" t="s">
        <v>1286</v>
      </c>
      <c r="I167" s="6" t="s">
        <v>1287</v>
      </c>
      <c r="J167" s="6" t="s">
        <v>1288</v>
      </c>
      <c r="K167" s="6" t="s">
        <v>1289</v>
      </c>
      <c r="L167" s="6" t="s">
        <v>448</v>
      </c>
      <c r="M167" s="7" t="s">
        <v>449</v>
      </c>
      <c r="N167" s="7"/>
      <c r="O167" s="7"/>
      <c r="P167" s="7"/>
      <c r="Q167" s="6" t="s">
        <v>1290</v>
      </c>
    </row>
  </sheetData>
  <autoFilter ref="A1:Q167"/>
  <conditionalFormatting sqref="M2:M167">
    <cfRule type="cellIs" priority="2" operator="equal" aboveAverage="0" equalAverage="0" bottom="0" percent="0" rank="0" text="" dxfId="9">
      <formula>"Failed"</formula>
    </cfRule>
    <cfRule type="cellIs" priority="3" operator="equal" aboveAverage="0" equalAverage="0" bottom="0" percent="0" rank="0" text="" dxfId="10">
      <formula>"Blocked"</formula>
    </cfRule>
    <cfRule type="cellIs" priority="4" operator="equal" aboveAverage="0" equalAverage="0" bottom="0" percent="0" rank="0" text="" dxfId="11">
      <formula>"Retired"</formula>
    </cfRule>
    <cfRule type="cellIs" priority="5" operator="equal" aboveAverage="0" equalAverage="0" bottom="0" percent="0" rank="0" text="" dxfId="12">
      <formula>"Passed"</formula>
    </cfRule>
    <cfRule type="cellIs" priority="6" operator="equal" aboveAverage="0" equalAverage="0" bottom="0" percent="0" rank="0" text="" dxfId="13">
      <formula>"Passed (Dev)"</formula>
    </cfRule>
  </conditionalFormatting>
  <dataValidations count="1">
    <dataValidation allowBlank="true" errorStyle="stop" operator="between" showDropDown="false" showErrorMessage="false" showInputMessage="false" sqref="M2:M167" type="list">
      <formula1>"Passed,Passed (Dev),Failed,Blocked,Not Run,Retired"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8" t="s">
        <v>1291</v>
      </c>
    </row>
    <row r="2" customFormat="false" ht="15" hidden="false" customHeight="false" outlineLevel="0" collapsed="false">
      <c r="A2" s="9" t="s">
        <v>25</v>
      </c>
      <c r="B2" s="9" t="s">
        <v>1292</v>
      </c>
      <c r="C2" s="9" t="s">
        <v>1183</v>
      </c>
      <c r="D2" s="9" t="s">
        <v>426</v>
      </c>
      <c r="E2" s="9" t="s">
        <v>1013</v>
      </c>
      <c r="F2" s="9" t="s">
        <v>485</v>
      </c>
      <c r="G2" s="9" t="s">
        <v>449</v>
      </c>
      <c r="H2" s="9" t="s">
        <v>1091</v>
      </c>
      <c r="I2" s="9" t="s">
        <v>1293</v>
      </c>
      <c r="J2" s="9" t="s">
        <v>1294</v>
      </c>
    </row>
    <row r="3" customFormat="false" ht="15" hidden="false" customHeight="false" outlineLevel="0" collapsed="false">
      <c r="A3" s="10" t="s">
        <v>36</v>
      </c>
      <c r="B3" s="10" t="n">
        <f aca="false">COUNTIF('Test Cases'!$D$2:$D$167,A3)</f>
        <v>10</v>
      </c>
      <c r="C3" s="10" t="n">
        <f aca="false">COUNTIFS('Test Cases'!$D$2:$D$167,$A3,'Test Cases'!$M$2:$M$167,"Passed")</f>
        <v>0</v>
      </c>
      <c r="D3" s="10" t="n">
        <f aca="false">COUNTIFS('Test Cases'!$D$2:$D$167,$A3,'Test Cases'!$M$2:$M$167,"Passed (Dev)")</f>
        <v>3</v>
      </c>
      <c r="E3" s="10" t="n">
        <f aca="false">COUNTIFS('Test Cases'!$D$2:$D$167,$A3,'Test Cases'!$M$2:$M$167,"Failed")</f>
        <v>0</v>
      </c>
      <c r="F3" s="10" t="n">
        <f aca="false">COUNTIFS('Test Cases'!$D$2:$D$167,$A3,'Test Cases'!$M$2:$M$167,"Blocked")</f>
        <v>1</v>
      </c>
      <c r="G3" s="10" t="n">
        <f aca="false">COUNTIFS('Test Cases'!$D$2:$D$167,$A3,'Test Cases'!$M$2:$M$167,"Not Run")</f>
        <v>6</v>
      </c>
      <c r="H3" s="10" t="n">
        <f aca="false">COUNTIFS('Test Cases'!$D$2:$D$167,$A3,'Test Cases'!$M$2:$M$167,"Retired")</f>
        <v>0</v>
      </c>
      <c r="I3" s="10" t="n">
        <f aca="false">C3+D3+E3</f>
        <v>3</v>
      </c>
      <c r="J3" s="11" t="n">
        <f aca="false">IF(I3=0,"-",(C3+D3)/I3)</f>
        <v>1</v>
      </c>
    </row>
    <row r="4" customFormat="false" ht="15" hidden="false" customHeight="false" outlineLevel="0" collapsed="false">
      <c r="A4" s="10" t="s">
        <v>79</v>
      </c>
      <c r="B4" s="10" t="n">
        <f aca="false">COUNTIF('Test Cases'!$D$2:$D$167,A4)</f>
        <v>15</v>
      </c>
      <c r="C4" s="10" t="n">
        <f aca="false">COUNTIFS('Test Cases'!$D$2:$D$167,$A4,'Test Cases'!$M$2:$M$167,"Passed")</f>
        <v>0</v>
      </c>
      <c r="D4" s="10" t="n">
        <f aca="false">COUNTIFS('Test Cases'!$D$2:$D$167,$A4,'Test Cases'!$M$2:$M$167,"Passed (Dev)")</f>
        <v>6</v>
      </c>
      <c r="E4" s="10" t="n">
        <f aca="false">COUNTIFS('Test Cases'!$D$2:$D$167,$A4,'Test Cases'!$M$2:$M$167,"Failed")</f>
        <v>0</v>
      </c>
      <c r="F4" s="10" t="n">
        <f aca="false">COUNTIFS('Test Cases'!$D$2:$D$167,$A4,'Test Cases'!$M$2:$M$167,"Blocked")</f>
        <v>1</v>
      </c>
      <c r="G4" s="10" t="n">
        <f aca="false">COUNTIFS('Test Cases'!$D$2:$D$167,$A4,'Test Cases'!$M$2:$M$167,"Not Run")</f>
        <v>8</v>
      </c>
      <c r="H4" s="10" t="n">
        <f aca="false">COUNTIFS('Test Cases'!$D$2:$D$167,$A4,'Test Cases'!$M$2:$M$167,"Retired")</f>
        <v>0</v>
      </c>
      <c r="I4" s="10" t="n">
        <f aca="false">C4+D4+E4</f>
        <v>6</v>
      </c>
      <c r="J4" s="11" t="n">
        <f aca="false">IF(I4=0,"-",(C4+D4)/I4)</f>
        <v>1</v>
      </c>
    </row>
    <row r="5" customFormat="false" ht="15" hidden="false" customHeight="false" outlineLevel="0" collapsed="false">
      <c r="A5" s="10" t="s">
        <v>117</v>
      </c>
      <c r="B5" s="10" t="n">
        <f aca="false">COUNTIF('Test Cases'!$D$2:$D$167,A5)</f>
        <v>7</v>
      </c>
      <c r="C5" s="10" t="n">
        <f aca="false">COUNTIFS('Test Cases'!$D$2:$D$167,$A5,'Test Cases'!$M$2:$M$167,"Passed")</f>
        <v>0</v>
      </c>
      <c r="D5" s="10" t="n">
        <f aca="false">COUNTIFS('Test Cases'!$D$2:$D$167,$A5,'Test Cases'!$M$2:$M$167,"Passed (Dev)")</f>
        <v>1</v>
      </c>
      <c r="E5" s="10" t="n">
        <f aca="false">COUNTIFS('Test Cases'!$D$2:$D$167,$A5,'Test Cases'!$M$2:$M$167,"Failed")</f>
        <v>0</v>
      </c>
      <c r="F5" s="10" t="n">
        <f aca="false">COUNTIFS('Test Cases'!$D$2:$D$167,$A5,'Test Cases'!$M$2:$M$167,"Blocked")</f>
        <v>3</v>
      </c>
      <c r="G5" s="10" t="n">
        <f aca="false">COUNTIFS('Test Cases'!$D$2:$D$167,$A5,'Test Cases'!$M$2:$M$167,"Not Run")</f>
        <v>3</v>
      </c>
      <c r="H5" s="10" t="n">
        <f aca="false">COUNTIFS('Test Cases'!$D$2:$D$167,$A5,'Test Cases'!$M$2:$M$167,"Retired")</f>
        <v>0</v>
      </c>
      <c r="I5" s="10" t="n">
        <f aca="false">C5+D5+E5</f>
        <v>1</v>
      </c>
      <c r="J5" s="11" t="n">
        <f aca="false">IF(I5=0,"-",(C5+D5)/I5)</f>
        <v>1</v>
      </c>
    </row>
    <row r="6" customFormat="false" ht="15" hidden="false" customHeight="false" outlineLevel="0" collapsed="false">
      <c r="A6" s="10" t="s">
        <v>127</v>
      </c>
      <c r="B6" s="10" t="n">
        <f aca="false">COUNTIF('Test Cases'!$D$2:$D$167,A6)</f>
        <v>7</v>
      </c>
      <c r="C6" s="10" t="n">
        <f aca="false">COUNTIFS('Test Cases'!$D$2:$D$167,$A6,'Test Cases'!$M$2:$M$167,"Passed")</f>
        <v>0</v>
      </c>
      <c r="D6" s="10" t="n">
        <f aca="false">COUNTIFS('Test Cases'!$D$2:$D$167,$A6,'Test Cases'!$M$2:$M$167,"Passed (Dev)")</f>
        <v>2</v>
      </c>
      <c r="E6" s="10" t="n">
        <f aca="false">COUNTIFS('Test Cases'!$D$2:$D$167,$A6,'Test Cases'!$M$2:$M$167,"Failed")</f>
        <v>0</v>
      </c>
      <c r="F6" s="10" t="n">
        <f aca="false">COUNTIFS('Test Cases'!$D$2:$D$167,$A6,'Test Cases'!$M$2:$M$167,"Blocked")</f>
        <v>0</v>
      </c>
      <c r="G6" s="10" t="n">
        <f aca="false">COUNTIFS('Test Cases'!$D$2:$D$167,$A6,'Test Cases'!$M$2:$M$167,"Not Run")</f>
        <v>5</v>
      </c>
      <c r="H6" s="10" t="n">
        <f aca="false">COUNTIFS('Test Cases'!$D$2:$D$167,$A6,'Test Cases'!$M$2:$M$167,"Retired")</f>
        <v>0</v>
      </c>
      <c r="I6" s="10" t="n">
        <f aca="false">C6+D6+E6</f>
        <v>2</v>
      </c>
      <c r="J6" s="11" t="n">
        <f aca="false">IF(I6=0,"-",(C6+D6)/I6)</f>
        <v>1</v>
      </c>
    </row>
    <row r="7" customFormat="false" ht="15" hidden="false" customHeight="false" outlineLevel="0" collapsed="false">
      <c r="A7" s="10" t="s">
        <v>155</v>
      </c>
      <c r="B7" s="10" t="n">
        <f aca="false">COUNTIF('Test Cases'!$D$2:$D$167,A7)</f>
        <v>18</v>
      </c>
      <c r="C7" s="10" t="n">
        <f aca="false">COUNTIFS('Test Cases'!$D$2:$D$167,$A7,'Test Cases'!$M$2:$M$167,"Passed")</f>
        <v>0</v>
      </c>
      <c r="D7" s="10" t="n">
        <f aca="false">COUNTIFS('Test Cases'!$D$2:$D$167,$A7,'Test Cases'!$M$2:$M$167,"Passed (Dev)")</f>
        <v>5</v>
      </c>
      <c r="E7" s="10" t="n">
        <f aca="false">COUNTIFS('Test Cases'!$D$2:$D$167,$A7,'Test Cases'!$M$2:$M$167,"Failed")</f>
        <v>0</v>
      </c>
      <c r="F7" s="10" t="n">
        <f aca="false">COUNTIFS('Test Cases'!$D$2:$D$167,$A7,'Test Cases'!$M$2:$M$167,"Blocked")</f>
        <v>3</v>
      </c>
      <c r="G7" s="10" t="n">
        <f aca="false">COUNTIFS('Test Cases'!$D$2:$D$167,$A7,'Test Cases'!$M$2:$M$167,"Not Run")</f>
        <v>10</v>
      </c>
      <c r="H7" s="10" t="n">
        <f aca="false">COUNTIFS('Test Cases'!$D$2:$D$167,$A7,'Test Cases'!$M$2:$M$167,"Retired")</f>
        <v>0</v>
      </c>
      <c r="I7" s="10" t="n">
        <f aca="false">C7+D7+E7</f>
        <v>5</v>
      </c>
      <c r="J7" s="11" t="n">
        <f aca="false">IF(I7=0,"-",(C7+D7)/I7)</f>
        <v>1</v>
      </c>
    </row>
    <row r="8" customFormat="false" ht="15" hidden="false" customHeight="false" outlineLevel="0" collapsed="false">
      <c r="A8" s="10" t="s">
        <v>755</v>
      </c>
      <c r="B8" s="10" t="n">
        <f aca="false">COUNTIF('Test Cases'!$D$2:$D$167,A8)</f>
        <v>8</v>
      </c>
      <c r="C8" s="10" t="n">
        <f aca="false">COUNTIFS('Test Cases'!$D$2:$D$167,$A8,'Test Cases'!$M$2:$M$167,"Passed")</f>
        <v>0</v>
      </c>
      <c r="D8" s="10" t="n">
        <f aca="false">COUNTIFS('Test Cases'!$D$2:$D$167,$A8,'Test Cases'!$M$2:$M$167,"Passed (Dev)")</f>
        <v>2</v>
      </c>
      <c r="E8" s="10" t="n">
        <f aca="false">COUNTIFS('Test Cases'!$D$2:$D$167,$A8,'Test Cases'!$M$2:$M$167,"Failed")</f>
        <v>0</v>
      </c>
      <c r="F8" s="10" t="n">
        <f aca="false">COUNTIFS('Test Cases'!$D$2:$D$167,$A8,'Test Cases'!$M$2:$M$167,"Blocked")</f>
        <v>2</v>
      </c>
      <c r="G8" s="10" t="n">
        <f aca="false">COUNTIFS('Test Cases'!$D$2:$D$167,$A8,'Test Cases'!$M$2:$M$167,"Not Run")</f>
        <v>4</v>
      </c>
      <c r="H8" s="10" t="n">
        <f aca="false">COUNTIFS('Test Cases'!$D$2:$D$167,$A8,'Test Cases'!$M$2:$M$167,"Retired")</f>
        <v>0</v>
      </c>
      <c r="I8" s="10" t="n">
        <f aca="false">C8+D8+E8</f>
        <v>2</v>
      </c>
      <c r="J8" s="11" t="n">
        <f aca="false">IF(I8=0,"-",(C8+D8)/I8)</f>
        <v>1</v>
      </c>
    </row>
    <row r="9" customFormat="false" ht="15" hidden="false" customHeight="false" outlineLevel="0" collapsed="false">
      <c r="A9" s="10" t="s">
        <v>234</v>
      </c>
      <c r="B9" s="10" t="n">
        <f aca="false">COUNTIF('Test Cases'!$D$2:$D$167,A9)</f>
        <v>9</v>
      </c>
      <c r="C9" s="10" t="n">
        <f aca="false">COUNTIFS('Test Cases'!$D$2:$D$167,$A9,'Test Cases'!$M$2:$M$167,"Passed")</f>
        <v>0</v>
      </c>
      <c r="D9" s="10" t="n">
        <f aca="false">COUNTIFS('Test Cases'!$D$2:$D$167,$A9,'Test Cases'!$M$2:$M$167,"Passed (Dev)")</f>
        <v>1</v>
      </c>
      <c r="E9" s="10" t="n">
        <f aca="false">COUNTIFS('Test Cases'!$D$2:$D$167,$A9,'Test Cases'!$M$2:$M$167,"Failed")</f>
        <v>0</v>
      </c>
      <c r="F9" s="10" t="n">
        <f aca="false">COUNTIFS('Test Cases'!$D$2:$D$167,$A9,'Test Cases'!$M$2:$M$167,"Blocked")</f>
        <v>0</v>
      </c>
      <c r="G9" s="10" t="n">
        <f aca="false">COUNTIFS('Test Cases'!$D$2:$D$167,$A9,'Test Cases'!$M$2:$M$167,"Not Run")</f>
        <v>8</v>
      </c>
      <c r="H9" s="10" t="n">
        <f aca="false">COUNTIFS('Test Cases'!$D$2:$D$167,$A9,'Test Cases'!$M$2:$M$167,"Retired")</f>
        <v>0</v>
      </c>
      <c r="I9" s="10" t="n">
        <f aca="false">C9+D9+E9</f>
        <v>1</v>
      </c>
      <c r="J9" s="11" t="n">
        <f aca="false">IF(I9=0,"-",(C9+D9)/I9)</f>
        <v>1</v>
      </c>
    </row>
    <row r="10" customFormat="false" ht="15" hidden="false" customHeight="false" outlineLevel="0" collapsed="false">
      <c r="A10" s="10" t="s">
        <v>145</v>
      </c>
      <c r="B10" s="10" t="n">
        <f aca="false">COUNTIF('Test Cases'!$D$2:$D$167,A10)</f>
        <v>2</v>
      </c>
      <c r="C10" s="10" t="n">
        <f aca="false">COUNTIFS('Test Cases'!$D$2:$D$167,$A10,'Test Cases'!$M$2:$M$167,"Passed")</f>
        <v>0</v>
      </c>
      <c r="D10" s="10" t="n">
        <f aca="false">COUNTIFS('Test Cases'!$D$2:$D$167,$A10,'Test Cases'!$M$2:$M$167,"Passed (Dev)")</f>
        <v>1</v>
      </c>
      <c r="E10" s="10" t="n">
        <f aca="false">COUNTIFS('Test Cases'!$D$2:$D$167,$A10,'Test Cases'!$M$2:$M$167,"Failed")</f>
        <v>0</v>
      </c>
      <c r="F10" s="10" t="n">
        <f aca="false">COUNTIFS('Test Cases'!$D$2:$D$167,$A10,'Test Cases'!$M$2:$M$167,"Blocked")</f>
        <v>0</v>
      </c>
      <c r="G10" s="10" t="n">
        <f aca="false">COUNTIFS('Test Cases'!$D$2:$D$167,$A10,'Test Cases'!$M$2:$M$167,"Not Run")</f>
        <v>1</v>
      </c>
      <c r="H10" s="10" t="n">
        <f aca="false">COUNTIFS('Test Cases'!$D$2:$D$167,$A10,'Test Cases'!$M$2:$M$167,"Retired")</f>
        <v>0</v>
      </c>
      <c r="I10" s="10" t="n">
        <f aca="false">C10+D10+E10</f>
        <v>1</v>
      </c>
      <c r="J10" s="11" t="n">
        <f aca="false">IF(I10=0,"-",(C10+D10)/I10)</f>
        <v>1</v>
      </c>
    </row>
    <row r="11" customFormat="false" ht="15" hidden="false" customHeight="false" outlineLevel="0" collapsed="false">
      <c r="A11" s="10" t="s">
        <v>251</v>
      </c>
      <c r="B11" s="10" t="n">
        <f aca="false">COUNTIF('Test Cases'!$D$2:$D$167,A11)</f>
        <v>11</v>
      </c>
      <c r="C11" s="10" t="n">
        <f aca="false">COUNTIFS('Test Cases'!$D$2:$D$167,$A11,'Test Cases'!$M$2:$M$167,"Passed")</f>
        <v>0</v>
      </c>
      <c r="D11" s="10" t="n">
        <f aca="false">COUNTIFS('Test Cases'!$D$2:$D$167,$A11,'Test Cases'!$M$2:$M$167,"Passed (Dev)")</f>
        <v>2</v>
      </c>
      <c r="E11" s="10" t="n">
        <f aca="false">COUNTIFS('Test Cases'!$D$2:$D$167,$A11,'Test Cases'!$M$2:$M$167,"Failed")</f>
        <v>0</v>
      </c>
      <c r="F11" s="10" t="n">
        <f aca="false">COUNTIFS('Test Cases'!$D$2:$D$167,$A11,'Test Cases'!$M$2:$M$167,"Blocked")</f>
        <v>0</v>
      </c>
      <c r="G11" s="10" t="n">
        <f aca="false">COUNTIFS('Test Cases'!$D$2:$D$167,$A11,'Test Cases'!$M$2:$M$167,"Not Run")</f>
        <v>9</v>
      </c>
      <c r="H11" s="10" t="n">
        <f aca="false">COUNTIFS('Test Cases'!$D$2:$D$167,$A11,'Test Cases'!$M$2:$M$167,"Retired")</f>
        <v>0</v>
      </c>
      <c r="I11" s="10" t="n">
        <f aca="false">C11+D11+E11</f>
        <v>2</v>
      </c>
      <c r="J11" s="11" t="n">
        <f aca="false">IF(I11=0,"-",(C11+D11)/I11)</f>
        <v>1</v>
      </c>
    </row>
    <row r="12" customFormat="false" ht="15" hidden="false" customHeight="false" outlineLevel="0" collapsed="false">
      <c r="A12" s="10" t="s">
        <v>909</v>
      </c>
      <c r="B12" s="10" t="n">
        <f aca="false">COUNTIF('Test Cases'!$D$2:$D$167,A12)</f>
        <v>8</v>
      </c>
      <c r="C12" s="10" t="n">
        <f aca="false">COUNTIFS('Test Cases'!$D$2:$D$167,$A12,'Test Cases'!$M$2:$M$167,"Passed")</f>
        <v>0</v>
      </c>
      <c r="D12" s="10" t="n">
        <f aca="false">COUNTIFS('Test Cases'!$D$2:$D$167,$A12,'Test Cases'!$M$2:$M$167,"Passed (Dev)")</f>
        <v>0</v>
      </c>
      <c r="E12" s="10" t="n">
        <f aca="false">COUNTIFS('Test Cases'!$D$2:$D$167,$A12,'Test Cases'!$M$2:$M$167,"Failed")</f>
        <v>0</v>
      </c>
      <c r="F12" s="10" t="n">
        <f aca="false">COUNTIFS('Test Cases'!$D$2:$D$167,$A12,'Test Cases'!$M$2:$M$167,"Blocked")</f>
        <v>0</v>
      </c>
      <c r="G12" s="10" t="n">
        <f aca="false">COUNTIFS('Test Cases'!$D$2:$D$167,$A12,'Test Cases'!$M$2:$M$167,"Not Run")</f>
        <v>8</v>
      </c>
      <c r="H12" s="10" t="n">
        <f aca="false">COUNTIFS('Test Cases'!$D$2:$D$167,$A12,'Test Cases'!$M$2:$M$167,"Retired")</f>
        <v>0</v>
      </c>
      <c r="I12" s="10" t="n">
        <f aca="false">C12+D12+E12</f>
        <v>0</v>
      </c>
      <c r="J12" s="11" t="str">
        <f aca="false">IF(I12=0,"-",(C12+D12)/I12)</f>
        <v>-</v>
      </c>
    </row>
    <row r="13" customFormat="false" ht="15" hidden="false" customHeight="false" outlineLevel="0" collapsed="false">
      <c r="A13" s="10" t="s">
        <v>280</v>
      </c>
      <c r="B13" s="10" t="n">
        <f aca="false">COUNTIF('Test Cases'!$D$2:$D$167,A13)</f>
        <v>11</v>
      </c>
      <c r="C13" s="10" t="n">
        <f aca="false">COUNTIFS('Test Cases'!$D$2:$D$167,$A13,'Test Cases'!$M$2:$M$167,"Passed")</f>
        <v>0</v>
      </c>
      <c r="D13" s="10" t="n">
        <f aca="false">COUNTIFS('Test Cases'!$D$2:$D$167,$A13,'Test Cases'!$M$2:$M$167,"Passed (Dev)")</f>
        <v>0</v>
      </c>
      <c r="E13" s="10" t="n">
        <f aca="false">COUNTIFS('Test Cases'!$D$2:$D$167,$A13,'Test Cases'!$M$2:$M$167,"Failed")</f>
        <v>0</v>
      </c>
      <c r="F13" s="10" t="n">
        <f aca="false">COUNTIFS('Test Cases'!$D$2:$D$167,$A13,'Test Cases'!$M$2:$M$167,"Blocked")</f>
        <v>7</v>
      </c>
      <c r="G13" s="10" t="n">
        <f aca="false">COUNTIFS('Test Cases'!$D$2:$D$167,$A13,'Test Cases'!$M$2:$M$167,"Not Run")</f>
        <v>4</v>
      </c>
      <c r="H13" s="10" t="n">
        <f aca="false">COUNTIFS('Test Cases'!$D$2:$D$167,$A13,'Test Cases'!$M$2:$M$167,"Retired")</f>
        <v>0</v>
      </c>
      <c r="I13" s="10" t="n">
        <f aca="false">C13+D13+E13</f>
        <v>0</v>
      </c>
      <c r="J13" s="11" t="str">
        <f aca="false">IF(I13=0,"-",(C13+D13)/I13)</f>
        <v>-</v>
      </c>
    </row>
    <row r="14" customFormat="false" ht="15" hidden="false" customHeight="false" outlineLevel="0" collapsed="false">
      <c r="A14" s="10" t="s">
        <v>98</v>
      </c>
      <c r="B14" s="10" t="n">
        <f aca="false">COUNTIF('Test Cases'!$D$2:$D$167,A14)</f>
        <v>12</v>
      </c>
      <c r="C14" s="10" t="n">
        <f aca="false">COUNTIFS('Test Cases'!$D$2:$D$167,$A14,'Test Cases'!$M$2:$M$167,"Passed")</f>
        <v>0</v>
      </c>
      <c r="D14" s="10" t="n">
        <f aca="false">COUNTIFS('Test Cases'!$D$2:$D$167,$A14,'Test Cases'!$M$2:$M$167,"Passed (Dev)")</f>
        <v>0</v>
      </c>
      <c r="E14" s="10" t="n">
        <f aca="false">COUNTIFS('Test Cases'!$D$2:$D$167,$A14,'Test Cases'!$M$2:$M$167,"Failed")</f>
        <v>1</v>
      </c>
      <c r="F14" s="10" t="n">
        <f aca="false">COUNTIFS('Test Cases'!$D$2:$D$167,$A14,'Test Cases'!$M$2:$M$167,"Blocked")</f>
        <v>3</v>
      </c>
      <c r="G14" s="10" t="n">
        <f aca="false">COUNTIFS('Test Cases'!$D$2:$D$167,$A14,'Test Cases'!$M$2:$M$167,"Not Run")</f>
        <v>8</v>
      </c>
      <c r="H14" s="10" t="n">
        <f aca="false">COUNTIFS('Test Cases'!$D$2:$D$167,$A14,'Test Cases'!$M$2:$M$167,"Retired")</f>
        <v>0</v>
      </c>
      <c r="I14" s="10" t="n">
        <f aca="false">C14+D14+E14</f>
        <v>1</v>
      </c>
      <c r="J14" s="11" t="n">
        <f aca="false">IF(I14=0,"-",(C14+D14)/I14)</f>
        <v>0</v>
      </c>
    </row>
    <row r="15" customFormat="false" ht="15" hidden="false" customHeight="false" outlineLevel="0" collapsed="false">
      <c r="A15" s="10" t="s">
        <v>217</v>
      </c>
      <c r="B15" s="10" t="n">
        <f aca="false">COUNTIF('Test Cases'!$D$2:$D$167,A15)</f>
        <v>7</v>
      </c>
      <c r="C15" s="10" t="n">
        <f aca="false">COUNTIFS('Test Cases'!$D$2:$D$167,$A15,'Test Cases'!$M$2:$M$167,"Passed")</f>
        <v>0</v>
      </c>
      <c r="D15" s="10" t="n">
        <f aca="false">COUNTIFS('Test Cases'!$D$2:$D$167,$A15,'Test Cases'!$M$2:$M$167,"Passed (Dev)")</f>
        <v>0</v>
      </c>
      <c r="E15" s="10" t="n">
        <f aca="false">COUNTIFS('Test Cases'!$D$2:$D$167,$A15,'Test Cases'!$M$2:$M$167,"Failed")</f>
        <v>0</v>
      </c>
      <c r="F15" s="10" t="n">
        <f aca="false">COUNTIFS('Test Cases'!$D$2:$D$167,$A15,'Test Cases'!$M$2:$M$167,"Blocked")</f>
        <v>0</v>
      </c>
      <c r="G15" s="10" t="n">
        <f aca="false">COUNTIFS('Test Cases'!$D$2:$D$167,$A15,'Test Cases'!$M$2:$M$167,"Not Run")</f>
        <v>7</v>
      </c>
      <c r="H15" s="10" t="n">
        <f aca="false">COUNTIFS('Test Cases'!$D$2:$D$167,$A15,'Test Cases'!$M$2:$M$167,"Retired")</f>
        <v>0</v>
      </c>
      <c r="I15" s="10" t="n">
        <f aca="false">C15+D15+E15</f>
        <v>0</v>
      </c>
      <c r="J15" s="11" t="str">
        <f aca="false">IF(I15=0,"-",(C15+D15)/I15)</f>
        <v>-</v>
      </c>
    </row>
    <row r="16" customFormat="false" ht="15" hidden="false" customHeight="false" outlineLevel="0" collapsed="false">
      <c r="A16" s="10" t="s">
        <v>358</v>
      </c>
      <c r="B16" s="10" t="n">
        <f aca="false">COUNTIF('Test Cases'!$D$2:$D$167,A16)</f>
        <v>2</v>
      </c>
      <c r="C16" s="10" t="n">
        <f aca="false">COUNTIFS('Test Cases'!$D$2:$D$167,$A16,'Test Cases'!$M$2:$M$167,"Passed")</f>
        <v>0</v>
      </c>
      <c r="D16" s="10" t="n">
        <f aca="false">COUNTIFS('Test Cases'!$D$2:$D$167,$A16,'Test Cases'!$M$2:$M$167,"Passed (Dev)")</f>
        <v>0</v>
      </c>
      <c r="E16" s="10" t="n">
        <f aca="false">COUNTIFS('Test Cases'!$D$2:$D$167,$A16,'Test Cases'!$M$2:$M$167,"Failed")</f>
        <v>0</v>
      </c>
      <c r="F16" s="10" t="n">
        <f aca="false">COUNTIFS('Test Cases'!$D$2:$D$167,$A16,'Test Cases'!$M$2:$M$167,"Blocked")</f>
        <v>0</v>
      </c>
      <c r="G16" s="10" t="n">
        <f aca="false">COUNTIFS('Test Cases'!$D$2:$D$167,$A16,'Test Cases'!$M$2:$M$167,"Not Run")</f>
        <v>0</v>
      </c>
      <c r="H16" s="10" t="n">
        <f aca="false">COUNTIFS('Test Cases'!$D$2:$D$167,$A16,'Test Cases'!$M$2:$M$167,"Retired")</f>
        <v>2</v>
      </c>
      <c r="I16" s="10" t="n">
        <f aca="false">C16+D16+E16</f>
        <v>0</v>
      </c>
      <c r="J16" s="11" t="str">
        <f aca="false">IF(I16=0,"-",(C16+D16)/I16)</f>
        <v>-</v>
      </c>
    </row>
    <row r="17" customFormat="false" ht="15" hidden="false" customHeight="false" outlineLevel="0" collapsed="false">
      <c r="A17" s="10" t="s">
        <v>1099</v>
      </c>
      <c r="B17" s="10" t="n">
        <f aca="false">COUNTIF('Test Cases'!$D$2:$D$167,A17)</f>
        <v>11</v>
      </c>
      <c r="C17" s="10" t="n">
        <f aca="false">COUNTIFS('Test Cases'!$D$2:$D$167,$A17,'Test Cases'!$M$2:$M$167,"Passed")</f>
        <v>0</v>
      </c>
      <c r="D17" s="10" t="n">
        <f aca="false">COUNTIFS('Test Cases'!$D$2:$D$167,$A17,'Test Cases'!$M$2:$M$167,"Passed (Dev)")</f>
        <v>3</v>
      </c>
      <c r="E17" s="10" t="n">
        <f aca="false">COUNTIFS('Test Cases'!$D$2:$D$167,$A17,'Test Cases'!$M$2:$M$167,"Failed")</f>
        <v>0</v>
      </c>
      <c r="F17" s="10" t="n">
        <f aca="false">COUNTIFS('Test Cases'!$D$2:$D$167,$A17,'Test Cases'!$M$2:$M$167,"Blocked")</f>
        <v>1</v>
      </c>
      <c r="G17" s="10" t="n">
        <f aca="false">COUNTIFS('Test Cases'!$D$2:$D$167,$A17,'Test Cases'!$M$2:$M$167,"Not Run")</f>
        <v>7</v>
      </c>
      <c r="H17" s="10" t="n">
        <f aca="false">COUNTIFS('Test Cases'!$D$2:$D$167,$A17,'Test Cases'!$M$2:$M$167,"Retired")</f>
        <v>0</v>
      </c>
      <c r="I17" s="10" t="n">
        <f aca="false">C17+D17+E17</f>
        <v>3</v>
      </c>
      <c r="J17" s="11" t="n">
        <f aca="false">IF(I17=0,"-",(C17+D17)/I17)</f>
        <v>1</v>
      </c>
    </row>
    <row r="18" customFormat="false" ht="15" hidden="false" customHeight="false" outlineLevel="0" collapsed="false">
      <c r="A18" s="10" t="s">
        <v>1148</v>
      </c>
      <c r="B18" s="10" t="n">
        <f aca="false">COUNTIF('Test Cases'!$D$2:$D$167,A18)</f>
        <v>9</v>
      </c>
      <c r="C18" s="10" t="n">
        <f aca="false">COUNTIFS('Test Cases'!$D$2:$D$167,$A18,'Test Cases'!$M$2:$M$167,"Passed")</f>
        <v>1</v>
      </c>
      <c r="D18" s="10" t="n">
        <f aca="false">COUNTIFS('Test Cases'!$D$2:$D$167,$A18,'Test Cases'!$M$2:$M$167,"Passed (Dev)")</f>
        <v>1</v>
      </c>
      <c r="E18" s="10" t="n">
        <f aca="false">COUNTIFS('Test Cases'!$D$2:$D$167,$A18,'Test Cases'!$M$2:$M$167,"Failed")</f>
        <v>0</v>
      </c>
      <c r="F18" s="10" t="n">
        <f aca="false">COUNTIFS('Test Cases'!$D$2:$D$167,$A18,'Test Cases'!$M$2:$M$167,"Blocked")</f>
        <v>1</v>
      </c>
      <c r="G18" s="10" t="n">
        <f aca="false">COUNTIFS('Test Cases'!$D$2:$D$167,$A18,'Test Cases'!$M$2:$M$167,"Not Run")</f>
        <v>6</v>
      </c>
      <c r="H18" s="10" t="n">
        <f aca="false">COUNTIFS('Test Cases'!$D$2:$D$167,$A18,'Test Cases'!$M$2:$M$167,"Retired")</f>
        <v>0</v>
      </c>
      <c r="I18" s="10" t="n">
        <f aca="false">C18+D18+E18</f>
        <v>2</v>
      </c>
      <c r="J18" s="11" t="n">
        <f aca="false">IF(I18=0,"-",(C18+D18)/I18)</f>
        <v>1</v>
      </c>
    </row>
    <row r="19" customFormat="false" ht="15" hidden="false" customHeight="false" outlineLevel="0" collapsed="false">
      <c r="A19" s="10" t="s">
        <v>385</v>
      </c>
      <c r="B19" s="10" t="n">
        <f aca="false">COUNTIF('Test Cases'!$D$2:$D$167,A19)</f>
        <v>7</v>
      </c>
      <c r="C19" s="10" t="n">
        <f aca="false">COUNTIFS('Test Cases'!$D$2:$D$167,$A19,'Test Cases'!$M$2:$M$167,"Passed")</f>
        <v>0</v>
      </c>
      <c r="D19" s="10" t="n">
        <f aca="false">COUNTIFS('Test Cases'!$D$2:$D$167,$A19,'Test Cases'!$M$2:$M$167,"Passed (Dev)")</f>
        <v>0</v>
      </c>
      <c r="E19" s="10" t="n">
        <f aca="false">COUNTIFS('Test Cases'!$D$2:$D$167,$A19,'Test Cases'!$M$2:$M$167,"Failed")</f>
        <v>0</v>
      </c>
      <c r="F19" s="10" t="n">
        <f aca="false">COUNTIFS('Test Cases'!$D$2:$D$167,$A19,'Test Cases'!$M$2:$M$167,"Blocked")</f>
        <v>5</v>
      </c>
      <c r="G19" s="10" t="n">
        <f aca="false">COUNTIFS('Test Cases'!$D$2:$D$167,$A19,'Test Cases'!$M$2:$M$167,"Not Run")</f>
        <v>2</v>
      </c>
      <c r="H19" s="10" t="n">
        <f aca="false">COUNTIFS('Test Cases'!$D$2:$D$167,$A19,'Test Cases'!$M$2:$M$167,"Retired")</f>
        <v>0</v>
      </c>
      <c r="I19" s="10" t="n">
        <f aca="false">C19+D19+E19</f>
        <v>0</v>
      </c>
      <c r="J19" s="11" t="str">
        <f aca="false">IF(I19=0,"-",(C19+D19)/I19)</f>
        <v>-</v>
      </c>
    </row>
    <row r="20" customFormat="false" ht="15" hidden="false" customHeight="false" outlineLevel="0" collapsed="false">
      <c r="A20" s="10" t="s">
        <v>1223</v>
      </c>
      <c r="B20" s="10" t="n">
        <f aca="false">COUNTIF('Test Cases'!$D$2:$D$167,A20)</f>
        <v>12</v>
      </c>
      <c r="C20" s="10" t="n">
        <f aca="false">COUNTIFS('Test Cases'!$D$2:$D$167,$A20,'Test Cases'!$M$2:$M$167,"Passed")</f>
        <v>5</v>
      </c>
      <c r="D20" s="10" t="n">
        <f aca="false">COUNTIFS('Test Cases'!$D$2:$D$167,$A20,'Test Cases'!$M$2:$M$167,"Passed (Dev)")</f>
        <v>0</v>
      </c>
      <c r="E20" s="10" t="n">
        <f aca="false">COUNTIFS('Test Cases'!$D$2:$D$167,$A20,'Test Cases'!$M$2:$M$167,"Failed")</f>
        <v>0</v>
      </c>
      <c r="F20" s="10" t="n">
        <f aca="false">COUNTIFS('Test Cases'!$D$2:$D$167,$A20,'Test Cases'!$M$2:$M$167,"Blocked")</f>
        <v>0</v>
      </c>
      <c r="G20" s="10" t="n">
        <f aca="false">COUNTIFS('Test Cases'!$D$2:$D$167,$A20,'Test Cases'!$M$2:$M$167,"Not Run")</f>
        <v>7</v>
      </c>
      <c r="H20" s="10" t="n">
        <f aca="false">COUNTIFS('Test Cases'!$D$2:$D$167,$A20,'Test Cases'!$M$2:$M$167,"Retired")</f>
        <v>0</v>
      </c>
      <c r="I20" s="10" t="n">
        <f aca="false">C20+D20+E20</f>
        <v>5</v>
      </c>
      <c r="J20" s="11" t="n">
        <f aca="false">IF(I20=0,"-",(C20+D20)/I20)</f>
        <v>1</v>
      </c>
    </row>
    <row r="21" customFormat="false" ht="15" hidden="false" customHeight="false" outlineLevel="0" collapsed="false">
      <c r="A21" s="12" t="s">
        <v>1295</v>
      </c>
      <c r="B21" s="12" t="n">
        <f aca="false">SUM(B3:B20)</f>
        <v>166</v>
      </c>
      <c r="C21" s="12" t="n">
        <f aca="false">SUM(C3:C20)</f>
        <v>6</v>
      </c>
      <c r="D21" s="12" t="n">
        <f aca="false">SUM(D3:D20)</f>
        <v>27</v>
      </c>
      <c r="E21" s="12" t="n">
        <f aca="false">SUM(E3:E20)</f>
        <v>1</v>
      </c>
      <c r="F21" s="12" t="n">
        <f aca="false">SUM(F3:F20)</f>
        <v>27</v>
      </c>
      <c r="G21" s="12" t="n">
        <f aca="false">SUM(G3:G20)</f>
        <v>103</v>
      </c>
      <c r="H21" s="12" t="n">
        <f aca="false">SUM(H3:H20)</f>
        <v>2</v>
      </c>
      <c r="I21" s="12" t="n">
        <f aca="false">SUM(I3:I20)</f>
        <v>34</v>
      </c>
      <c r="J21" s="13" t="n">
        <f aca="false">IF(I21=0,"-",(C21+D21)/I21)</f>
        <v>0.970588235294118</v>
      </c>
    </row>
    <row r="24" customFormat="false" ht="15" hidden="false" customHeight="false" outlineLevel="0" collapsed="false">
      <c r="A24" s="8" t="s">
        <v>1296</v>
      </c>
    </row>
    <row r="25" customFormat="false" ht="15" hidden="false" customHeight="false" outlineLevel="0" collapsed="false">
      <c r="A25" s="14" t="s">
        <v>425</v>
      </c>
      <c r="B25" s="14" t="n">
        <f aca="false">COUNTIF('Test Cases'!$L$2:$L$167,A25)</f>
        <v>50</v>
      </c>
    </row>
    <row r="26" customFormat="false" ht="15" hidden="false" customHeight="false" outlineLevel="0" collapsed="false">
      <c r="A26" s="14" t="s">
        <v>501</v>
      </c>
      <c r="B26" s="14" t="n">
        <f aca="false">COUNTIF('Test Cases'!$L$2:$L$167,A26)</f>
        <v>7</v>
      </c>
    </row>
    <row r="27" customFormat="false" ht="15" hidden="false" customHeight="false" outlineLevel="0" collapsed="false">
      <c r="A27" s="14" t="s">
        <v>448</v>
      </c>
      <c r="B27" s="14" t="n">
        <f aca="false">COUNTIF('Test Cases'!$L$2:$L$167,A27)</f>
        <v>107</v>
      </c>
    </row>
    <row r="28" customFormat="false" ht="15" hidden="false" customHeight="false" outlineLevel="0" collapsed="false">
      <c r="A28" s="14" t="s">
        <v>1091</v>
      </c>
      <c r="B28" s="14" t="n">
        <f aca="false">COUNTIF('Test Cases'!$L$2:$L$167,A28)</f>
        <v>2</v>
      </c>
    </row>
    <row r="31" customFormat="false" ht="15" hidden="false" customHeight="false" outlineLevel="0" collapsed="false">
      <c r="A31" s="15" t="s">
        <v>1297</v>
      </c>
      <c r="B31" s="14" t="n">
        <f aca="false">COUNTA('Use Cases'!A2:A43)</f>
        <v>42</v>
      </c>
    </row>
    <row r="32" customFormat="false" ht="15" hidden="false" customHeight="false" outlineLevel="0" collapsed="false">
      <c r="A32" s="16" t="s">
        <v>1298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30" hidden="false" customHeight="true" outlineLevel="0" collapsed="false">
      <c r="A1" s="4" t="s">
        <v>404</v>
      </c>
      <c r="B1" s="4" t="s">
        <v>1299</v>
      </c>
      <c r="C1" s="4" t="s">
        <v>407</v>
      </c>
      <c r="D1" s="4" t="s">
        <v>32</v>
      </c>
      <c r="E1" s="4" t="s">
        <v>1300</v>
      </c>
    </row>
    <row r="2" customFormat="false" ht="22.35" hidden="false" customHeight="false" outlineLevel="0" collapsed="false">
      <c r="A2" s="5" t="s">
        <v>1301</v>
      </c>
      <c r="B2" s="6" t="s">
        <v>1302</v>
      </c>
      <c r="C2" s="6" t="s">
        <v>1303</v>
      </c>
      <c r="D2" s="6" t="s">
        <v>1304</v>
      </c>
      <c r="E2" s="6" t="s">
        <v>1305</v>
      </c>
    </row>
    <row r="3" customFormat="false" ht="22.35" hidden="false" customHeight="false" outlineLevel="0" collapsed="false">
      <c r="A3" s="5" t="s">
        <v>1306</v>
      </c>
      <c r="B3" s="6" t="s">
        <v>1307</v>
      </c>
      <c r="C3" s="6" t="s">
        <v>1308</v>
      </c>
      <c r="D3" s="6" t="s">
        <v>1309</v>
      </c>
      <c r="E3" s="6" t="s">
        <v>1310</v>
      </c>
    </row>
    <row r="4" customFormat="false" ht="22.35" hidden="false" customHeight="false" outlineLevel="0" collapsed="false">
      <c r="A4" s="5" t="s">
        <v>1311</v>
      </c>
      <c r="B4" s="6" t="s">
        <v>1312</v>
      </c>
      <c r="C4" s="6" t="s">
        <v>1303</v>
      </c>
      <c r="D4" s="6" t="s">
        <v>1313</v>
      </c>
      <c r="E4" s="6" t="s">
        <v>1314</v>
      </c>
    </row>
    <row r="5" customFormat="false" ht="15" hidden="false" customHeight="false" outlineLevel="0" collapsed="false">
      <c r="A5" s="5" t="s">
        <v>1315</v>
      </c>
      <c r="B5" s="6" t="s">
        <v>1316</v>
      </c>
      <c r="C5" s="6" t="s">
        <v>1317</v>
      </c>
      <c r="D5" s="6" t="s">
        <v>1318</v>
      </c>
      <c r="E5" s="6" t="s">
        <v>1319</v>
      </c>
    </row>
    <row r="6" customFormat="false" ht="22.35" hidden="false" customHeight="false" outlineLevel="0" collapsed="false">
      <c r="A6" s="5" t="s">
        <v>329</v>
      </c>
      <c r="B6" s="6" t="s">
        <v>1320</v>
      </c>
      <c r="C6" s="6" t="s">
        <v>1303</v>
      </c>
      <c r="D6" s="6" t="s">
        <v>333</v>
      </c>
      <c r="E6" s="6" t="s">
        <v>1321</v>
      </c>
    </row>
    <row r="7" customFormat="false" ht="22.35" hidden="false" customHeight="false" outlineLevel="0" collapsed="false">
      <c r="A7" s="5" t="s">
        <v>966</v>
      </c>
      <c r="B7" s="6" t="s">
        <v>1322</v>
      </c>
      <c r="C7" s="6" t="s">
        <v>1303</v>
      </c>
      <c r="D7" s="6" t="s">
        <v>1323</v>
      </c>
      <c r="E7" s="6" t="s">
        <v>1324</v>
      </c>
    </row>
    <row r="8" customFormat="false" ht="22.35" hidden="false" customHeight="false" outlineLevel="0" collapsed="false">
      <c r="A8" s="5" t="s">
        <v>218</v>
      </c>
      <c r="B8" s="6" t="s">
        <v>1325</v>
      </c>
      <c r="C8" s="6" t="s">
        <v>1317</v>
      </c>
      <c r="D8" s="6" t="s">
        <v>222</v>
      </c>
      <c r="E8" s="6" t="s">
        <v>1326</v>
      </c>
    </row>
    <row r="9" customFormat="false" ht="22.35" hidden="false" customHeight="false" outlineLevel="0" collapsed="false">
      <c r="A9" s="5" t="s">
        <v>99</v>
      </c>
      <c r="B9" s="6" t="s">
        <v>1327</v>
      </c>
      <c r="C9" s="6" t="s">
        <v>1308</v>
      </c>
      <c r="D9" s="6" t="s">
        <v>382</v>
      </c>
      <c r="E9" s="6" t="s">
        <v>1328</v>
      </c>
    </row>
    <row r="10" customFormat="false" ht="22.35" hidden="false" customHeight="false" outlineLevel="0" collapsed="false">
      <c r="A10" s="5" t="s">
        <v>109</v>
      </c>
      <c r="B10" s="6" t="s">
        <v>1329</v>
      </c>
      <c r="C10" s="6" t="s">
        <v>1308</v>
      </c>
      <c r="D10" s="6" t="s">
        <v>114</v>
      </c>
      <c r="E10" s="6" t="s">
        <v>1330</v>
      </c>
    </row>
    <row r="11" customFormat="false" ht="22.35" hidden="false" customHeight="false" outlineLevel="0" collapsed="false">
      <c r="A11" s="5" t="s">
        <v>209</v>
      </c>
      <c r="B11" s="6" t="s">
        <v>1331</v>
      </c>
      <c r="C11" s="6" t="s">
        <v>1303</v>
      </c>
      <c r="D11" s="6" t="s">
        <v>214</v>
      </c>
      <c r="E11" s="6" t="s">
        <v>1332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2026-09-30T00:43:54Z</dcterms:created>
  <dc:creator>openpyxl</dc:creator>
  <dc:description/>
  <dc:language>en-US</dc:language>
  <cp:lastModifiedBy/>
  <dcterms:modified xsi:type="dcterms:W3CDTF">2026-09-30T00:43:55Z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