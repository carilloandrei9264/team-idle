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 Cas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oposed FRs" sheetId="5" state="visible" r:id="rId5"/>
  </sheets>
  <definedNames>
    <definedName name="_xlnm._FilterDatabase" localSheetId="1" hidden="1">'Use Cases'!$A$1:$K$43</definedName>
    <definedName name="_xlnm._FilterDatabase" localSheetId="2" hidden="1">'Test Cases'!$A$1:$Q$203</definedName>
    <definedName name="_xlnm._FilterDatabase" localSheetId="4" hidden="1">'Proposed FRs'!$A$1:$E$11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1E40AF"/>
        <bgColor rgb="FF003366"/>
      </patternFill>
    </fill>
    <fill>
      <patternFill patternType="solid">
        <fgColor rgb="FFFEF9C3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 wrapText="1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 wrapText="1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9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E40A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E5E7EB"/>
        </patternFill>
      </fill>
    </dxf>
    <dxf>
      <fill>
        <patternFill>
          <bgColor rgb="FFBBF7D0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CACA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BBF7D0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7" min="1" max="1"/>
  </cols>
  <sheetData>
    <row r="1" ht="17.35" customHeight="1" s="18">
      <c r="A1" s="19" t="inlineStr">
        <is>
          <t>TrustHome PH — Use Cases &amp; Test Cases Catalog (Rev 2, 2026-10-01)</t>
        </is>
      </c>
    </row>
    <row r="2" ht="23.85" customHeight="1" s="18">
      <c r="A2" s="20" t="inlineStr">
        <is>
          <t>Built from the Rev 2 document set (01–07 PDFs) and the Current Progress Report (Oct 1, 2026). Earlier sources (Build Instructions, System Build Plan, Firebase Setup Plan, Design Guide, Versioning Plan) are superseded; see the mapping below.</t>
        </is>
      </c>
    </row>
    <row r="3" ht="15" customHeight="1" s="18">
      <c r="A3" s="20" t="n"/>
    </row>
    <row r="4" ht="15" customHeight="1" s="18">
      <c r="A4" s="21" t="inlineStr">
        <is>
          <t>Sheets</t>
        </is>
      </c>
    </row>
    <row r="5" ht="15" customHeight="1" s="18">
      <c r="A5" s="20" t="inlineStr">
        <is>
          <t>Use Cases — 48 use cases (UC-43 to UC-48 added in Rev 2).</t>
        </is>
      </c>
    </row>
    <row r="6" ht="15" customHeight="1" s="18">
      <c r="A6" s="20" t="inlineStr">
        <is>
          <t>Test Cases — 202 test cases. IDs from the QA doc are kept; new ones continue each prefix. Rev 2 adds TC-PURP, TC-API, TC-DOC, TC-OPS and TC-NOTIF-012 to 015.</t>
        </is>
      </c>
    </row>
    <row r="7" ht="15" customHeight="1" s="18">
      <c r="A7" s="20" t="inlineStr">
        <is>
          <t>Summary — live counts by module, status and origin (formulas; update automatically). "Unassigned module check" must be 0.</t>
        </is>
      </c>
    </row>
    <row r="8" ht="15" customHeight="1" s="18">
      <c r="A8" s="20" t="inlineStr">
        <is>
          <t>Proposed FRs — FR-019 to FR-029 and NFR-COST-01, NFR-SEC-02, NFR-REL-02 for the QA doc.</t>
        </is>
      </c>
    </row>
    <row r="9" ht="15" customHeight="1" s="18">
      <c r="A9" s="20" t="n"/>
    </row>
    <row r="10" ht="15" customHeight="1" s="18">
      <c r="A10" s="21" t="inlineStr">
        <is>
          <t>What changed in Rev 2 (Oct 1)</t>
        </is>
      </c>
    </row>
    <row r="11" ht="15" customHeight="1" s="18">
      <c r="A11" s="20" t="inlineStr">
        <is>
          <t>1. Rules were deployed on Oct 1 (commit a1fe48e), so 23 cases that waited on "BUG-008 / rules deploy" moved from Blocked to Not Run. Run them now.</t>
        </is>
      </c>
    </row>
    <row r="12" ht="15" customHeight="1" s="18">
      <c r="A12" s="20" t="inlineStr">
        <is>
          <t>2. Cases that need live booking confirmation stay Blocked by F-05 until the trusted API (v1.4) is deployed: TC-SEC-002, TC-NOTIF-002.</t>
        </is>
      </c>
    </row>
    <row r="13" ht="15" customHeight="1" s="18">
      <c r="A13" s="20" t="inlineStr">
        <is>
          <t>3. Cases that need private documents stay Blocked by F-16 until v1.4: TC-VER-006, document part of TC-SEC-003.</t>
        </is>
      </c>
    </row>
    <row r="14" ht="15" customHeight="1" s="18">
      <c r="A14" s="20" t="inlineStr">
        <is>
          <t>4. TC-MAP-003 changed Failed -&gt; Passed (Sep 30 live test). TC-SEC-007 changed Not Run -&gt; Passed (rules deployed).</t>
        </is>
      </c>
    </row>
    <row r="15" ht="15" customHeight="1" s="18">
      <c r="A15" s="20" t="inlineStr">
        <is>
          <t>5. Automated counts updated: 47 Node tests, 23 Python tests, npm audit 0 vulnerabilities (TC-AUTO-001, 004, 006).</t>
        </is>
      </c>
    </row>
    <row r="16" ht="15" customHeight="1" s="18">
      <c r="A16" s="20" t="inlineStr">
        <is>
          <t>6. UC-15 and UC-10 now describe the trusted API (confirmation, document preview).</t>
        </is>
      </c>
    </row>
    <row r="17" ht="15" customHeight="1" s="18">
      <c r="A17" s="20" t="n"/>
    </row>
    <row r="18" ht="15" customHeight="1" s="18">
      <c r="A18" s="21" t="inlineStr">
        <is>
          <t>Origin column</t>
        </is>
      </c>
    </row>
    <row r="19" ht="15" customHeight="1" s="18">
      <c r="A19" s="20" t="inlineStr">
        <is>
          <t>Existing (QA doc): unchanged from TrustHomePH_QA_Documentation_Updated.docx.</t>
        </is>
      </c>
    </row>
    <row r="20" ht="15" customHeight="1" s="18">
      <c r="A20" s="20" t="inlineStr">
        <is>
          <t>Updated: exists in the QA doc but its expected result or data changed (see Remarks).</t>
        </is>
      </c>
    </row>
    <row r="21" ht="15" customHeight="1" s="18">
      <c r="A21" s="20" t="inlineStr">
        <is>
          <t>New: not yet in the QA doc.  Retired: feature removed (Saved Searches); kept for traceability.</t>
        </is>
      </c>
    </row>
    <row r="22" ht="15" customHeight="1" s="18">
      <c r="A22" s="20" t="n"/>
    </row>
    <row r="23" ht="15" customHeight="1" s="18">
      <c r="A23" s="21" t="inlineStr">
        <is>
          <t>Status meanings (use exactly these)</t>
        </is>
      </c>
    </row>
    <row r="24" ht="15" customHeight="1" s="18">
      <c r="A24" s="20" t="inlineStr">
        <is>
          <t>Passed — executed on the deployed test project with evidence (screenshot or log) and a tester name.</t>
        </is>
      </c>
    </row>
    <row r="25" ht="15" customHeight="1" s="18">
      <c r="A25" s="20" t="inlineStr">
        <is>
          <t>Passed (Dev) — passed only locally / on emulator / by unit test. Must be re-run live before release.</t>
        </is>
      </c>
    </row>
    <row r="26" ht="15" customHeight="1" s="18">
      <c r="A26" s="20" t="inlineStr">
        <is>
          <t>Failed — executed and the actual result differs. Log a defect (F-xx) and put its ID in Remarks.</t>
        </is>
      </c>
    </row>
    <row r="27" ht="15" customHeight="1" s="18">
      <c r="A27" s="20" t="inlineStr">
        <is>
          <t>Blocked — cannot run yet; Remarks must name the blocker (F-05, F-16, ...).  Not Run — runnable but not yet run.</t>
        </is>
      </c>
    </row>
    <row r="28">
      <c r="A28" s="20" t="n"/>
    </row>
    <row r="29">
      <c r="A29" s="21" t="inlineStr">
        <is>
          <t>How to use</t>
        </is>
      </c>
    </row>
    <row r="30">
      <c r="A30" s="20" t="inlineStr">
        <is>
          <t>Edit only the yellow columns in Test Cases: Status, Actual Result, Tester, Date. Status uses a dropdown.</t>
        </is>
      </c>
    </row>
    <row r="31">
      <c r="A31" s="20" t="inlineStr">
        <is>
          <t>Example: Status = Passed · Actual Result = 'Booking Confirmed; renter bell shows 1' · Tester = Laurente · Date = 2026-10-06.</t>
        </is>
      </c>
    </row>
    <row r="32">
      <c r="A32" s="20" t="inlineStr">
        <is>
          <t>Execution order for the next two weeks is in 07 QA &amp; Testing Strategy §6.</t>
        </is>
      </c>
    </row>
    <row r="33">
      <c r="A33" s="20" t="n"/>
    </row>
    <row r="34">
      <c r="A34" s="21" t="inlineStr">
        <is>
          <t>Old source name -&gt; Rev 2 document</t>
        </is>
      </c>
    </row>
    <row r="35">
      <c r="A35" s="20" t="inlineStr">
        <is>
          <t>Build Instructions -&gt; 01 Product Requirements &amp; Scope</t>
        </is>
      </c>
    </row>
    <row r="36">
      <c r="A36" s="20" t="inlineStr">
        <is>
          <t>System Build Plan -&gt; 02 System Architecture &amp; Data Design</t>
        </is>
      </c>
    </row>
    <row r="37">
      <c r="A37" s="20" t="inlineStr">
        <is>
          <t>Firebase Setup Plan -&gt; 03 Infrastructure, Setup &amp; Deployment (secrets/rules parts -&gt; 04 Security &amp; Privacy)</t>
        </is>
      </c>
    </row>
    <row r="38">
      <c r="A38" s="20" t="inlineStr">
        <is>
          <t>Design Guide -&gt; 05 UI/UX Design System</t>
        </is>
      </c>
    </row>
    <row r="39">
      <c r="A39" s="20" t="inlineStr">
        <is>
          <t>Versioning Plan -&gt; 06 Roadmap &amp; Release Plan</t>
        </is>
      </c>
    </row>
    <row r="40">
      <c r="A40" s="20" t="inlineStr">
        <is>
          <t>QA Documentation (test approach) -&gt; 07 QA &amp; Testing Strategy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28" customWidth="1" style="17" min="2" max="2"/>
    <col width="20" customWidth="1" style="17" min="3" max="3"/>
    <col width="16" customWidth="1" style="17" min="4" max="4"/>
    <col width="12" customWidth="1" style="17" min="5" max="5"/>
    <col width="24" customWidth="1" style="17" min="6" max="6"/>
    <col width="55" customWidth="1" style="17" min="7" max="7"/>
    <col width="50" customWidth="1" style="17" min="8" max="8"/>
    <col width="30" customWidth="1" style="17" min="9" max="9"/>
    <col width="26" customWidth="1" style="17" min="10" max="10"/>
    <col width="10" customWidth="1" style="17" min="11" max="11"/>
  </cols>
  <sheetData>
    <row r="1" ht="30" customHeight="1" s="18">
      <c r="A1" s="22" t="inlineStr">
        <is>
          <t>UC ID</t>
        </is>
      </c>
      <c r="B1" s="22" t="inlineStr">
        <is>
          <t>Use Case</t>
        </is>
      </c>
      <c r="C1" s="22" t="inlineStr">
        <is>
          <t>Module</t>
        </is>
      </c>
      <c r="D1" s="22" t="inlineStr">
        <is>
          <t>Primary Actor</t>
        </is>
      </c>
      <c r="E1" s="22" t="inlineStr">
        <is>
          <t>Related FR</t>
        </is>
      </c>
      <c r="F1" s="22" t="inlineStr">
        <is>
          <t>Preconditions</t>
        </is>
      </c>
      <c r="G1" s="22" t="inlineStr">
        <is>
          <t>Main Flow</t>
        </is>
      </c>
      <c r="H1" s="22" t="inlineStr">
        <is>
          <t>Alternate / Exception Flows</t>
        </is>
      </c>
      <c r="I1" s="22" t="inlineStr">
        <is>
          <t>Postconditions</t>
        </is>
      </c>
      <c r="J1" s="22" t="inlineStr">
        <is>
          <t>Source</t>
        </is>
      </c>
      <c r="K1" s="22" t="inlineStr">
        <is>
          <t>Version</t>
        </is>
      </c>
    </row>
    <row r="2" ht="64.15000000000001" customHeight="1" s="18">
      <c r="A2" s="23" t="inlineStr">
        <is>
          <t>UC-01</t>
        </is>
      </c>
      <c r="B2" s="24" t="inlineStr">
        <is>
          <t>Register an account</t>
        </is>
      </c>
      <c r="C2" s="24" t="inlineStr">
        <is>
          <t>Authentication</t>
        </is>
      </c>
      <c r="D2" s="24" t="inlineStr">
        <is>
          <t>Guest</t>
        </is>
      </c>
      <c r="E2" s="24" t="inlineStr">
        <is>
          <t>FR-001</t>
        </is>
      </c>
      <c r="F2" s="24" t="inlineStr">
        <is>
          <t>Visitor is signed out.</t>
        </is>
      </c>
      <c r="G2" s="24" t="inlineStr">
        <is>
          <t>1. Open Login / Register.
2. Enter name, email, password.
3. Submit.
4. System creates Firebase Auth account and users/{uid} profile (role user, status active).
5. Redirect to home/dashboard.</t>
        </is>
      </c>
      <c r="H2" s="24" t="inlineStr">
        <is>
          <t>A1. Email already in use -&gt; inline error.
A2. Weak/short password -&gt; inline error.
A3. Network failure -&gt; error message, no partial profile.</t>
        </is>
      </c>
      <c r="I2" s="24" t="inlineStr">
        <is>
          <t>User is signed in with an active user profile.</t>
        </is>
      </c>
      <c r="J2" s="24" t="inlineStr">
        <is>
          <t>Build Instructions §2.3, §6; Firebase Setup §4</t>
        </is>
      </c>
      <c r="K2" s="24" t="inlineStr">
        <is>
          <t>v0.1</t>
        </is>
      </c>
    </row>
    <row r="3" ht="43.25" customHeight="1" s="18">
      <c r="A3" s="23" t="inlineStr">
        <is>
          <t>UC-02</t>
        </is>
      </c>
      <c r="B3" s="24" t="inlineStr">
        <is>
          <t>Log in with email and password</t>
        </is>
      </c>
      <c r="C3" s="24" t="inlineStr">
        <is>
          <t>Authentication</t>
        </is>
      </c>
      <c r="D3" s="24" t="inlineStr">
        <is>
          <t>User / Admin</t>
        </is>
      </c>
      <c r="E3" s="24" t="inlineStr">
        <is>
          <t>FR-001</t>
        </is>
      </c>
      <c r="F3" s="24" t="inlineStr">
        <is>
          <t>Account exists.</t>
        </is>
      </c>
      <c r="G3" s="24" t="inlineStr">
        <is>
          <t>1. Open Login.
2. Enter email + password.
3. System authenticates and loads profile.
4. Redirect to the user's landing page.</t>
        </is>
      </c>
      <c r="H3" s="24" t="inlineStr">
        <is>
          <t>A1. Wrong password / unknown email -&gt; inline error, no session.
A2. Suspended account -&gt; suspended-account screen; protected actions blocked.</t>
        </is>
      </c>
      <c r="I3" s="24" t="inlineStr">
        <is>
          <t>Session active; nav shows account menu + bell.</t>
        </is>
      </c>
      <c r="J3" s="24" t="inlineStr">
        <is>
          <t>Build Instructions §6</t>
        </is>
      </c>
      <c r="K3" s="24" t="inlineStr">
        <is>
          <t>v0.1</t>
        </is>
      </c>
    </row>
    <row r="4" ht="43.25" customHeight="1" s="18">
      <c r="A4" s="23" t="inlineStr">
        <is>
          <t>UC-03</t>
        </is>
      </c>
      <c r="B4" s="24" t="inlineStr">
        <is>
          <t>Sign in with Google</t>
        </is>
      </c>
      <c r="C4" s="24" t="inlineStr">
        <is>
          <t>Authentication</t>
        </is>
      </c>
      <c r="D4" s="24" t="inlineStr">
        <is>
          <t>Guest / User</t>
        </is>
      </c>
      <c r="E4" s="24" t="inlineStr">
        <is>
          <t>FR-001</t>
        </is>
      </c>
      <c r="F4" s="24" t="inlineStr">
        <is>
          <t>Google sign-in enabled in Firebase.</t>
        </is>
      </c>
      <c r="G4" s="24" t="inlineStr">
        <is>
          <t>1. Click Continue with Google.
2. Choose account.
3. On first sign-in, system creates users profile.
4. Redirect.</t>
        </is>
      </c>
      <c r="H4" s="24" t="inlineStr">
        <is>
          <t>A1. User closes popup -&gt; stays on login, no error loop.
A2. Existing email/password account with same email -&gt; handled without duplicate profile.</t>
        </is>
      </c>
      <c r="I4" s="24" t="inlineStr">
        <is>
          <t>Signed in; single profile per UID.</t>
        </is>
      </c>
      <c r="J4" s="24" t="inlineStr">
        <is>
          <t>Firebase Setup §4</t>
        </is>
      </c>
      <c r="K4" s="24" t="inlineStr">
        <is>
          <t>v0.1</t>
        </is>
      </c>
    </row>
    <row r="5" ht="32.8" customHeight="1" s="18">
      <c r="A5" s="23" t="inlineStr">
        <is>
          <t>UC-04</t>
        </is>
      </c>
      <c r="B5" s="24" t="inlineStr">
        <is>
          <t>Log out</t>
        </is>
      </c>
      <c r="C5" s="24" t="inlineStr">
        <is>
          <t>Authentication</t>
        </is>
      </c>
      <c r="D5" s="24" t="inlineStr">
        <is>
          <t>User / Admin</t>
        </is>
      </c>
      <c r="E5" s="24" t="inlineStr">
        <is>
          <t>FR-001</t>
        </is>
      </c>
      <c r="F5" s="24" t="inlineStr">
        <is>
          <t>User is signed in.</t>
        </is>
      </c>
      <c r="G5" s="24" t="inlineStr">
        <is>
          <t>1. Open account menu.
2. Click Log out.
3. Session cleared; redirected to public page.</t>
        </is>
      </c>
      <c r="H5" s="24" t="inlineStr">
        <is>
          <t>A1. Using back button after logout does not reveal protected pages.</t>
        </is>
      </c>
      <c r="I5" s="24" t="inlineStr">
        <is>
          <t>Signed out.</t>
        </is>
      </c>
      <c r="J5" s="24" t="inlineStr">
        <is>
          <t>Design Guide p.10</t>
        </is>
      </c>
      <c r="K5" s="24" t="inlineStr">
        <is>
          <t>v0.1</t>
        </is>
      </c>
    </row>
    <row r="6" ht="32.8" customHeight="1" s="18">
      <c r="A6" s="23" t="inlineStr">
        <is>
          <t>UC-05</t>
        </is>
      </c>
      <c r="B6" s="24" t="inlineStr">
        <is>
          <t>Manage profile / account</t>
        </is>
      </c>
      <c r="C6" s="24" t="inlineStr">
        <is>
          <t>Account</t>
        </is>
      </c>
      <c r="D6" s="24" t="inlineStr">
        <is>
          <t>User</t>
        </is>
      </c>
      <c r="E6" s="24" t="inlineStr">
        <is>
          <t>FR-001</t>
        </is>
      </c>
      <c r="F6" s="24" t="inlineStr">
        <is>
          <t>Signed in.</t>
        </is>
      </c>
      <c r="G6" s="24" t="inlineStr">
        <is>
          <t>1. Open profile/account page.
2. Edit allowed fields (e.g., name).
3. Save.</t>
        </is>
      </c>
      <c r="H6" s="24" t="inlineStr">
        <is>
          <t>A1. User cannot change own role or status (rules deny).</t>
        </is>
      </c>
      <c r="I6" s="24" t="inlineStr">
        <is>
          <t>Profile updated; role/status unchanged.</t>
        </is>
      </c>
      <c r="J6" s="24" t="inlineStr">
        <is>
          <t>Progress Report v0.1</t>
        </is>
      </c>
      <c r="K6" s="24" t="inlineStr">
        <is>
          <t>v0.1</t>
        </is>
      </c>
    </row>
    <row r="7" ht="85.05" customHeight="1" s="18">
      <c r="A7" s="23" t="inlineStr">
        <is>
          <t>UC-06</t>
        </is>
      </c>
      <c r="B7" s="24" t="inlineStr">
        <is>
          <t>Create a listing and submit for review</t>
        </is>
      </c>
      <c r="C7" s="24" t="inlineStr">
        <is>
          <t>Listing Intake</t>
        </is>
      </c>
      <c r="D7" s="24" t="inlineStr">
        <is>
          <t>User (Owner)</t>
        </is>
      </c>
      <c r="E7" s="24" t="inlineStr">
        <is>
          <t>FR-002, FR-003</t>
        </is>
      </c>
      <c r="F7" s="24" t="inlineStr">
        <is>
          <t>Signed in, active account.</t>
        </is>
      </c>
      <c r="G7" s="24" t="inlineStr">
        <is>
          <t>1. Open Create Listing (multi-step).
2. Enter type, address/area, city, bedrooms, bathrooms, size, rent, availability date, amenities, description.
3. Upload &gt;= 4 photos to Cloudinary.
4. Upload one ownership document + one government photo ID.
5. Add &gt;= 1 showing window (day + start/end time).
6. Optionally place an approximate map pin.
7. Submit -&gt; verificationStatus = pending.</t>
        </is>
      </c>
      <c r="H7" s="24" t="inlineStr">
        <is>
          <t>A1. Missing required field -&gt; field-level error, submission blocked.
A2. Description empty/whitespace or &gt; 400 words -&gt; blocked (150 words is a recommendation only).
A3. &lt; 4 photos -&gt; blocked.
A4. Missing either document -&gt; blocked.
A5. No valid showing window / end before start -&gt; blocked.
A6. Upload fails -&gt; error, user can retry.</t>
        </is>
      </c>
      <c r="I7" s="24" t="inlineStr">
        <is>
          <t>Pending listing (not public); exact address stored in listingPrivate/{id}; public doc has no address field.</t>
        </is>
      </c>
      <c r="J7" s="24" t="inlineStr">
        <is>
          <t>Build Instructions §2.1–2.3; Progress Report v1.1, P1</t>
        </is>
      </c>
      <c r="K7" s="24" t="inlineStr">
        <is>
          <t>v0.1 / v1.1</t>
        </is>
      </c>
    </row>
    <row r="8" ht="43.25" customHeight="1" s="18">
      <c r="A8" s="23" t="inlineStr">
        <is>
          <t>UC-07</t>
        </is>
      </c>
      <c r="B8" s="24" t="inlineStr">
        <is>
          <t>Edit a listing / resubmit after changes requested</t>
        </is>
      </c>
      <c r="C8" s="24" t="inlineStr">
        <is>
          <t>Listing Intake</t>
        </is>
      </c>
      <c r="D8" s="24" t="inlineStr">
        <is>
          <t>User (Owner)</t>
        </is>
      </c>
      <c r="E8" s="24" t="inlineStr">
        <is>
          <t>FR-002, FR-003</t>
        </is>
      </c>
      <c r="F8" s="24" t="inlineStr">
        <is>
          <t>Owner has an existing listing.</t>
        </is>
      </c>
      <c r="G8" s="24" t="inlineStr">
        <is>
          <t>1. Open My Listings -&gt; Edit.
2. Change fields/photos/documents/showing windows.
3. Save / resubmit.
4. If status was changes-requested, listing returns to pending.</t>
        </is>
      </c>
      <c r="H8" s="24" t="inlineStr">
        <is>
          <t>A1. Edit breaks any intake rule -&gt; same errors as creation (edit parity).
A2. Non-owner opens edit URL -&gt; denied.</t>
        </is>
      </c>
      <c r="I8" s="24" t="inlineStr">
        <is>
          <t>Listing updated; resubmitted listing back in admin queue.</t>
        </is>
      </c>
      <c r="J8" s="24" t="inlineStr">
        <is>
          <t>Progress Report v1.1</t>
        </is>
      </c>
      <c r="K8" s="24" t="inlineStr">
        <is>
          <t>v1.1</t>
        </is>
      </c>
    </row>
    <row r="9" ht="53.7" customHeight="1" s="18">
      <c r="A9" s="23" t="inlineStr">
        <is>
          <t>UC-08</t>
        </is>
      </c>
      <c r="B9" s="24" t="inlineStr">
        <is>
          <t>Set location with approximate map pin</t>
        </is>
      </c>
      <c r="C9" s="24" t="inlineStr">
        <is>
          <t>Listing Map &amp; Privacy</t>
        </is>
      </c>
      <c r="D9" s="24" t="inlineStr">
        <is>
          <t>User (Owner)</t>
        </is>
      </c>
      <c r="E9" s="24" t="inlineStr">
        <is>
          <t>FR-022</t>
        </is>
      </c>
      <c r="F9" s="24" t="inlineStr">
        <is>
          <t>Owner on create/edit listing.</t>
        </is>
      </c>
      <c r="G9" s="24" t="inlineStr">
        <is>
          <t>1. Type a location in map search.
2. Geocoder (with PH-specific retry) returns a pin.
3. Or click 'Use my exact address' to geocode the private address.
4. Adjust pin; save.
5. Public doc stores only a 5-char geohash marked approximate.</t>
        </is>
      </c>
      <c r="H9" s="24" t="inlineStr">
        <is>
          <t>A1. Address not found -&gt; message; owner can place pin manually.
A2. Invalid coordinates -&gt; rejected.
A3. Pin optional -&gt; listing saves without map.
A4. OPEN BUG: 'Use my exact address' button not rendering in live browser.</t>
        </is>
      </c>
      <c r="I9" s="24" t="inlineStr">
        <is>
          <t>Public listing has coarse location only; exact lat/long never public.</t>
        </is>
      </c>
      <c r="J9" s="24" t="inlineStr">
        <is>
          <t>Progress Report P2 Map; cleanup 2026-09-30</t>
        </is>
      </c>
      <c r="K9" s="24" t="inlineStr">
        <is>
          <t>v1.3+</t>
        </is>
      </c>
    </row>
    <row r="10" ht="53.7" customHeight="1" s="18">
      <c r="A10" s="23" t="inlineStr">
        <is>
          <t>UC-09</t>
        </is>
      </c>
      <c r="B10" s="24" t="inlineStr">
        <is>
          <t>View My Listings</t>
        </is>
      </c>
      <c r="C10" s="24" t="inlineStr">
        <is>
          <t>Owner Listing Visibility</t>
        </is>
      </c>
      <c r="D10" s="24" t="inlineStr">
        <is>
          <t>User (Owner)</t>
        </is>
      </c>
      <c r="E10" s="24" t="inlineStr">
        <is>
          <t>FR-023</t>
        </is>
      </c>
      <c r="F10" s="24" t="inlineStr">
        <is>
          <t>Signed in; owns &gt;= 0 listings.</t>
        </is>
      </c>
      <c r="G10" s="24" t="inlineStr">
        <is>
          <t>1. Open My Activity -&gt; My Listings.
2. See card per listing: photo, city, type, bedrooms, price, verification status, review note, pending-request count.
3. View / Edit actions.
4. Tap request count -&gt; Booking Requests tab filtered to that listing.</t>
        </is>
      </c>
      <c r="H10" s="24" t="inlineStr">
        <is>
          <t>A1. No listings -&gt; empty state with Create Listing CTA.
A2. Request count fails to load -&gt; 'unavailable' state (not zero).</t>
        </is>
      </c>
      <c r="I10" s="24" t="inlineStr">
        <is>
          <t>Owner sees status of every listing; exact address/documents not shown.</t>
        </is>
      </c>
      <c r="J10" s="24" t="inlineStr">
        <is>
          <t>Progress Report P1 Owner visibility</t>
        </is>
      </c>
      <c r="K10" s="24" t="inlineStr">
        <is>
          <t>v1.3+</t>
        </is>
      </c>
    </row>
    <row r="11" ht="64.15000000000001" customHeight="1" s="18">
      <c r="A11" s="23" t="inlineStr">
        <is>
          <t>UC-10</t>
        </is>
      </c>
      <c r="B11" s="24" t="inlineStr">
        <is>
          <t>Review a pending listing</t>
        </is>
      </c>
      <c r="C11" s="24" t="inlineStr">
        <is>
          <t>Admin Listing Review</t>
        </is>
      </c>
      <c r="D11" s="24" t="inlineStr">
        <is>
          <t>Admin</t>
        </is>
      </c>
      <c r="E11" s="24" t="inlineStr">
        <is>
          <t>FR-003</t>
        </is>
      </c>
      <c r="F11" s="24" t="inlineStr">
        <is>
          <t>Admin signed in; pending listing exists.</t>
        </is>
      </c>
      <c r="G11" s="24" t="inlineStr">
        <is>
          <t>1. Open Listing Review Queue.
2. View photos; ownership document and government ID load through short-lived URLs from GET /api/listings/{id}/documents/{kind}.
3. Check name match + document validity (plausibility only).
4. Choose Approve, Request changes (with note), or Reject (with note).
5. Owner is notified.</t>
        </is>
      </c>
      <c r="H11" s="24" t="inlineStr">
        <is>
          <t>A1. Document PDF fails to render -&gt; link still openable.
A2. Queue load fails -&gt; error + Retry.</t>
        </is>
      </c>
      <c r="I11" s="24" t="inlineStr">
        <is>
          <t>Approved -&gt; verified + verifiedAt, public with 'Verified – document reviewed' badge. Changes requested -&gt; owner sees note. Rejected -&gt; permanent.</t>
        </is>
      </c>
      <c r="J11" s="24" t="inlineStr">
        <is>
          <t>Build Instructions §2.2, §2.3; Build Plan §3</t>
        </is>
      </c>
      <c r="K11" s="24" t="inlineStr">
        <is>
          <t>v0.1 / v1.1</t>
        </is>
      </c>
    </row>
    <row r="12" ht="43.25" customHeight="1" s="18">
      <c r="A12" s="23" t="inlineStr">
        <is>
          <t>UC-11</t>
        </is>
      </c>
      <c r="B12" s="24" t="inlineStr">
        <is>
          <t>Browse and filter verified listings</t>
        </is>
      </c>
      <c r="C12" s="24" t="inlineStr">
        <is>
          <t>Search &amp; Browse</t>
        </is>
      </c>
      <c r="D12" s="24" t="inlineStr">
        <is>
          <t>Guest / User</t>
        </is>
      </c>
      <c r="E12" s="24" t="inlineStr">
        <is>
          <t>FR-004</t>
        </is>
      </c>
      <c r="F12" s="24" t="inlineStr">
        <is>
          <t>Verified listings exist.</t>
        </is>
      </c>
      <c r="G12" s="24" t="inlineStr">
        <is>
          <t>1. Open Browse.
2. Apply city, price range, type filters.
3. Results sorted by Trust &amp; Fairness Score by default.
4. Change sort.</t>
        </is>
      </c>
      <c r="H12" s="24" t="inlineStr">
        <is>
          <t>A1. No matches -&gt; empty state.
A2. Pending/rejected/suspended listings never shown.</t>
        </is>
      </c>
      <c r="I12" s="24" t="inlineStr">
        <is>
          <t>Filtered verified list displayed.</t>
        </is>
      </c>
      <c r="J12" s="24" t="inlineStr">
        <is>
          <t>Build Instructions §3.1; Design Guide p.2</t>
        </is>
      </c>
      <c r="K12" s="24" t="inlineStr">
        <is>
          <t>v0.1</t>
        </is>
      </c>
    </row>
    <row r="13" ht="43.25" customHeight="1" s="18">
      <c r="A13" s="23" t="inlineStr">
        <is>
          <t>UC-12</t>
        </is>
      </c>
      <c r="B13" s="24" t="inlineStr">
        <is>
          <t>View listing details</t>
        </is>
      </c>
      <c r="C13" s="24" t="inlineStr">
        <is>
          <t>Search &amp; Browse</t>
        </is>
      </c>
      <c r="D13" s="24" t="inlineStr">
        <is>
          <t>Guest / User</t>
        </is>
      </c>
      <c r="E13" s="24" t="inlineStr">
        <is>
          <t>FR-004, FR-010, FR-022</t>
        </is>
      </c>
      <c r="F13" s="24" t="inlineStr">
        <is>
          <t>Listing is verified.</t>
        </is>
      </c>
      <c r="G13" s="24" t="inlineStr">
        <is>
          <t>1. Open a listing card.
2. See photos, Verified badge, price, trust score + cue, price-fairness label, availability/showing windows, reviews, approximate map, Request Booking CTA.</t>
        </is>
      </c>
      <c r="H13" s="24" t="inlineStr">
        <is>
          <t>A1. No pin -&gt; map hidden.
A2. Guest clicks Request Booking -&gt; prompted to sign in.
A3. Pending listing URL opened by non-owner -&gt; not found/denied.</t>
        </is>
      </c>
      <c r="I13" s="24" t="inlineStr">
        <is>
          <t>Details displayed; no exact address or documents visible.</t>
        </is>
      </c>
      <c r="J13" s="24" t="inlineStr">
        <is>
          <t>Design Guide p.3; Progress Report v1.3</t>
        </is>
      </c>
      <c r="K13" s="24" t="inlineStr">
        <is>
          <t>v0.1 / v1.3</t>
        </is>
      </c>
    </row>
    <row r="14" ht="32.8" customHeight="1" s="18">
      <c r="A14" s="23" t="inlineStr">
        <is>
          <t>UC-13</t>
        </is>
      </c>
      <c r="B14" s="24" t="inlineStr">
        <is>
          <t>View a public profile</t>
        </is>
      </c>
      <c r="C14" s="24" t="inlineStr">
        <is>
          <t>Public Profile</t>
        </is>
      </c>
      <c r="D14" s="24" t="inlineStr">
        <is>
          <t>Guest / User</t>
        </is>
      </c>
      <c r="E14" s="24" t="inlineStr">
        <is>
          <t>FR-018</t>
        </is>
      </c>
      <c r="F14" s="24" t="inlineStr">
        <is>
          <t>Target user exists.</t>
        </is>
      </c>
      <c r="G14" s="24" t="inlineStr">
        <is>
          <t>1. Open owner's profile from listing.
2. See trust score, rating, Verified badge, founded-dispute flag (if count &gt; 0).</t>
        </is>
      </c>
      <c r="H14" s="24" t="inlineStr">
        <is>
          <t>A1. No founded disputes -&gt; no warning.</t>
        </is>
      </c>
      <c r="I14" s="24" t="inlineStr">
        <is>
          <t>Profile displayed; flag computed from Founded disputes.</t>
        </is>
      </c>
      <c r="J14" s="24" t="inlineStr">
        <is>
          <t>Design Guide p.11; Build Plan §6</t>
        </is>
      </c>
      <c r="K14" s="24" t="inlineStr">
        <is>
          <t>v0.3</t>
        </is>
      </c>
    </row>
    <row r="15" ht="53.7" customHeight="1" s="18">
      <c r="A15" s="23" t="inlineStr">
        <is>
          <t>UC-14</t>
        </is>
      </c>
      <c r="B15" s="24" t="inlineStr">
        <is>
          <t>Request a booking / viewing</t>
        </is>
      </c>
      <c r="C15" s="24" t="inlineStr">
        <is>
          <t>Booking</t>
        </is>
      </c>
      <c r="D15" s="24" t="inlineStr">
        <is>
          <t>User (Renter)</t>
        </is>
      </c>
      <c r="E15" s="24" t="inlineStr">
        <is>
          <t>FR-005, FR-006</t>
        </is>
      </c>
      <c r="F15" s="24" t="inlineStr">
        <is>
          <t>Signed in; listing verified; not the renter's own listing.</t>
        </is>
      </c>
      <c r="G15" s="24" t="inlineStr">
        <is>
          <t>1. On Listing Detail click Request Booking.
2. Select start/end date (within showing windows).
3. System checks overlap against Confirmed bookings only.
4. Create booking status Pending.
5. Owner notified.</t>
        </is>
      </c>
      <c r="H15" s="24" t="inlineStr">
        <is>
          <t>A1. Overlap with Confirmed -&gt; 'dates unavailable', no doc.
A2. End before start / past date -&gt; blocked.
A3. Dates not selected -&gt; button disabled with reason.
A4. Pending overlaps are allowed (competing requests).
A5. Suspended user -&gt; blocked.</t>
        </is>
      </c>
      <c r="I15" s="24" t="inlineStr">
        <is>
          <t>Pending booking exists; owner has a notification.</t>
        </is>
      </c>
      <c r="J15" s="24" t="inlineStr">
        <is>
          <t>Build Instructions §3.1, §4; Build Plan §4</t>
        </is>
      </c>
      <c r="K15" s="24" t="inlineStr">
        <is>
          <t>v0.2</t>
        </is>
      </c>
    </row>
    <row r="16" ht="53.7" customHeight="1" s="18">
      <c r="A16" s="23" t="inlineStr">
        <is>
          <t>UC-15</t>
        </is>
      </c>
      <c r="B16" s="24" t="inlineStr">
        <is>
          <t>Confirm a booking request</t>
        </is>
      </c>
      <c r="C16" s="24" t="inlineStr">
        <is>
          <t>Booking</t>
        </is>
      </c>
      <c r="D16" s="24" t="inlineStr">
        <is>
          <t>User (Owner)</t>
        </is>
      </c>
      <c r="E16" s="24" t="inlineStr">
        <is>
          <t>FR-005, FR-006</t>
        </is>
      </c>
      <c r="F16" s="24" t="inlineStr">
        <is>
          <t>Pending request on owner's listing.</t>
        </is>
      </c>
      <c r="G16" s="24" t="inlineStr">
        <is>
          <t>1. Open My Activity -&gt; Booking Requests.
2. Click Confirm.
3. Client sends POST /api/bookings/{id}/confirm with the user's Firebase ID token.
4. API verifies token, owner, active status, and re-checks overlap inside a Firestore transaction holding the per-listing lock.
5. Status -&gt; Confirmed; renter notified; exact-address handoff created.</t>
        </is>
      </c>
      <c r="H16" s="24" t="inlineStr">
        <is>
          <t>A1. Overlaps an existing Confirmed booking -&gt; 409, request stays Pending (first confirmation wins).
A2. Non-owner / suspended / signed-out -&gt; 403/401.
A3. API unreachable -&gt; 'service unavailable' message; UI never falls back to a direct Firestore write.
A4. Direct client write of status Confirmed -&gt; denied by Firestore rules.</t>
        </is>
      </c>
      <c r="I16" s="24" t="inlineStr">
        <is>
          <t>Booking Confirmed; range blocks future overlaps.</t>
        </is>
      </c>
      <c r="J16" s="24" t="inlineStr">
        <is>
          <t>Requirements §7; Architecture §6–7 (supersedes Build Plan §4)</t>
        </is>
      </c>
      <c r="K16" s="24" t="inlineStr">
        <is>
          <t>v0.2 / v1.4</t>
        </is>
      </c>
    </row>
    <row r="17" ht="32.8" customHeight="1" s="18">
      <c r="A17" s="23" t="inlineStr">
        <is>
          <t>UC-16</t>
        </is>
      </c>
      <c r="B17" s="24" t="inlineStr">
        <is>
          <t>Decline a pending request</t>
        </is>
      </c>
      <c r="C17" s="24" t="inlineStr">
        <is>
          <t>Booking</t>
        </is>
      </c>
      <c r="D17" s="24" t="inlineStr">
        <is>
          <t>User (Owner)</t>
        </is>
      </c>
      <c r="E17" s="24" t="inlineStr">
        <is>
          <t>FR-005</t>
        </is>
      </c>
      <c r="F17" s="24" t="inlineStr">
        <is>
          <t>Pending request on owner's listing.</t>
        </is>
      </c>
      <c r="G17" s="24" t="inlineStr">
        <is>
          <t>1. Open Booking Requests.
2. Click Decline.
3. Pending booking document deleted (no 'Cancelled' status).</t>
        </is>
      </c>
      <c r="H17" s="24" t="inlineStr">
        <is>
          <t>A1. Attempt to decline a Confirmed booking -&gt; not allowed.</t>
        </is>
      </c>
      <c r="I17" s="24" t="inlineStr">
        <is>
          <t>Request removed.</t>
        </is>
      </c>
      <c r="J17" s="24" t="inlineStr">
        <is>
          <t>Progress Report v1.2</t>
        </is>
      </c>
      <c r="K17" s="24" t="inlineStr">
        <is>
          <t>v1.2</t>
        </is>
      </c>
    </row>
    <row r="18" ht="32.8" customHeight="1" s="18">
      <c r="A18" s="23" t="inlineStr">
        <is>
          <t>UC-17</t>
        </is>
      </c>
      <c r="B18" s="24" t="inlineStr">
        <is>
          <t>Log deposit transaction reference</t>
        </is>
      </c>
      <c r="C18" s="24" t="inlineStr">
        <is>
          <t>Deposit Accountability</t>
        </is>
      </c>
      <c r="D18" s="24" t="inlineStr">
        <is>
          <t>User (Renter)</t>
        </is>
      </c>
      <c r="E18" s="24" t="inlineStr">
        <is>
          <t>FR-007</t>
        </is>
      </c>
      <c r="F18" s="24" t="inlineStr">
        <is>
          <t>Renter's booking is Confirmed; deposit paid off-platform (GCash/bank).</t>
        </is>
      </c>
      <c r="G18" s="24" t="inlineStr">
        <is>
          <t>1. Open My Bookings -&gt; booking.
2. Enter transaction reference.
3. Save; reference visible to renter and owner.</t>
        </is>
      </c>
      <c r="H18" s="24" t="inlineStr">
        <is>
          <t>A1. Booking Pending -&gt; field unavailable.
A2. Empty reference -&gt; validation error.
A3. Owner or third party tries to write it -&gt; denied.</t>
        </is>
      </c>
      <c r="I18" s="24" t="inlineStr">
        <is>
          <t>depositReference stored on booking.</t>
        </is>
      </c>
      <c r="J18" s="24" t="inlineStr">
        <is>
          <t>Build Instructions §3.2</t>
        </is>
      </c>
      <c r="K18" s="24" t="inlineStr">
        <is>
          <t>v1.2</t>
        </is>
      </c>
    </row>
    <row r="19" ht="32.8" customHeight="1" s="18">
      <c r="A19" s="23" t="inlineStr">
        <is>
          <t>UC-18</t>
        </is>
      </c>
      <c r="B19" s="24" t="inlineStr">
        <is>
          <t>Mark a booking completed</t>
        </is>
      </c>
      <c r="C19" s="24" t="inlineStr">
        <is>
          <t>Booking Completion</t>
        </is>
      </c>
      <c r="D19" s="24" t="inlineStr">
        <is>
          <t>User (Renter)</t>
        </is>
      </c>
      <c r="E19" s="24" t="inlineStr">
        <is>
          <t>FR-008</t>
        </is>
      </c>
      <c r="F19" s="24" t="inlineStr">
        <is>
          <t>Renter's booking is Confirmed.</t>
        </is>
      </c>
      <c r="G19" s="24" t="inlineStr">
        <is>
          <t>1. Open My Bookings.
2. Click Mark completed (renter is the single manual authority).
3. Status -&gt; Completed; rating prompt shown.</t>
        </is>
      </c>
      <c r="H19" s="24" t="inlineStr">
        <is>
          <t>A1. Owner side has no Mark completed button.
A2. Pending booking cannot be completed.</t>
        </is>
      </c>
      <c r="I19" s="24" t="inlineStr">
        <is>
          <t>Booking Completed; counts toward trust score.</t>
        </is>
      </c>
      <c r="J19" s="24" t="inlineStr">
        <is>
          <t>Progress Report P1 duplicate completion</t>
        </is>
      </c>
      <c r="K19" s="24" t="inlineStr">
        <is>
          <t>v1.2 / v1.3+</t>
        </is>
      </c>
    </row>
    <row r="20" ht="32.8" customHeight="1" s="18">
      <c r="A20" s="23" t="inlineStr">
        <is>
          <t>UC-19</t>
        </is>
      </c>
      <c r="B20" s="24" t="inlineStr">
        <is>
          <t>Auto-complete expired bookings</t>
        </is>
      </c>
      <c r="C20" s="24" t="inlineStr">
        <is>
          <t>Scheduled Jobs</t>
        </is>
      </c>
      <c r="D20" s="24" t="inlineStr">
        <is>
          <t>System (GitHub Actions)</t>
        </is>
      </c>
      <c r="E20" s="24" t="inlineStr">
        <is>
          <t>FR-008</t>
        </is>
      </c>
      <c r="F20" s="24" t="inlineStr">
        <is>
          <t>Confirmed bookings with endDate &lt; today.</t>
        </is>
      </c>
      <c r="G20" s="24" t="inlineStr">
        <is>
          <t>1. Workflow runs complete_expired_bookings.py.
2. Matching bookings -&gt; Completed.
3. Trust-score recomputation runs next.</t>
        </is>
      </c>
      <c r="H20" s="24" t="inlineStr">
        <is>
          <t>A1. Non-expired or non-Confirmed bookings untouched.
A2. Workflow failure -&gt; visible in Actions history; manual re-run.</t>
        </is>
      </c>
      <c r="I20" s="24" t="inlineStr">
        <is>
          <t>Expired bookings Completed.</t>
        </is>
      </c>
      <c r="J20" s="24" t="inlineStr">
        <is>
          <t>Build Plan §4; Progress Report v0.2</t>
        </is>
      </c>
      <c r="K20" s="24" t="inlineStr">
        <is>
          <t>v0.2</t>
        </is>
      </c>
    </row>
    <row r="21" ht="22.35" customHeight="1" s="18">
      <c r="A21" s="23" t="inlineStr">
        <is>
          <t>UC-20</t>
        </is>
      </c>
      <c r="B21" s="24" t="inlineStr">
        <is>
          <t>View exact address after confirmation</t>
        </is>
      </c>
      <c r="C21" s="24" t="inlineStr">
        <is>
          <t>Listing Map &amp; Privacy</t>
        </is>
      </c>
      <c r="D21" s="24" t="inlineStr">
        <is>
          <t>User (Renter)</t>
        </is>
      </c>
      <c r="E21" s="24" t="inlineStr">
        <is>
          <t>FR-024</t>
        </is>
      </c>
      <c r="F21" s="24" t="inlineStr">
        <is>
          <t>Renter has a Confirmed booking.</t>
        </is>
      </c>
      <c r="G21" s="24" t="inlineStr">
        <is>
          <t>1. Open the confirmed booking.
2. Exact property address is shown (handoff from listingPrivate).</t>
        </is>
      </c>
      <c r="H21" s="24" t="inlineStr">
        <is>
          <t>A1. Pending/declined booking -&gt; address hidden.
A2. Unrelated user -&gt; denied.</t>
        </is>
      </c>
      <c r="I21" s="24" t="inlineStr">
        <is>
          <t>Renter sees exact address only after confirmation.</t>
        </is>
      </c>
      <c r="J21" s="24" t="inlineStr">
        <is>
          <t>Build Instructions §2.1; cleanup 2026-09-30</t>
        </is>
      </c>
      <c r="K21" s="24" t="inlineStr">
        <is>
          <t>v1.3+</t>
        </is>
      </c>
    </row>
    <row r="22" ht="32.8" customHeight="1" s="18">
      <c r="A22" s="23" t="inlineStr">
        <is>
          <t>UC-21</t>
        </is>
      </c>
      <c r="B22" s="24" t="inlineStr">
        <is>
          <t>View My Activity</t>
        </is>
      </c>
      <c r="C22" s="24" t="inlineStr">
        <is>
          <t>Navigation &amp; Settings</t>
        </is>
      </c>
      <c r="D22" s="24" t="inlineStr">
        <is>
          <t>User</t>
        </is>
      </c>
      <c r="E22" s="24" t="inlineStr">
        <is>
          <t>FR-021</t>
        </is>
      </c>
      <c r="F22" s="24" t="inlineStr">
        <is>
          <t>Signed in.</t>
        </is>
      </c>
      <c r="G22" s="24" t="inlineStr">
        <is>
          <t>1. Open account menu -&gt; My Activity.
2. Switch tabs: My Listings, My Bookings, Booking Requests (tab reflected in URL).</t>
        </is>
      </c>
      <c r="H22" s="24" t="inlineStr">
        <is>
          <t>A1. Old direct routes still work.
A2. New user -&gt; empty states in each tab.</t>
        </is>
      </c>
      <c r="I22" s="24" t="inlineStr">
        <is>
          <t>One entry point for all activity.</t>
        </is>
      </c>
      <c r="J22" s="24" t="inlineStr">
        <is>
          <t>Progress Report P2 Navigation</t>
        </is>
      </c>
      <c r="K22" s="24" t="inlineStr">
        <is>
          <t>v1.3+</t>
        </is>
      </c>
    </row>
    <row r="23" ht="32.8" customHeight="1" s="18">
      <c r="A23" s="23" t="inlineStr">
        <is>
          <t>UC-22</t>
        </is>
      </c>
      <c r="B23" s="24" t="inlineStr">
        <is>
          <t>Rate and review a completed booking</t>
        </is>
      </c>
      <c r="C23" s="24" t="inlineStr">
        <is>
          <t>Ratings &amp; Reviews</t>
        </is>
      </c>
      <c r="D23" s="24" t="inlineStr">
        <is>
          <t>User (Renter / Owner)</t>
        </is>
      </c>
      <c r="E23" s="24" t="inlineStr">
        <is>
          <t>FR-008</t>
        </is>
      </c>
      <c r="F23" s="24" t="inlineStr">
        <is>
          <t>Booking is Completed.</t>
        </is>
      </c>
      <c r="G23" s="24" t="inlineStr">
        <is>
          <t>1. Open rating prompt.
2. Select 1–5 score, optional comment.
3. Submit; review shows on listing.</t>
        </is>
      </c>
      <c r="H23" s="24" t="inlineStr">
        <is>
          <t>A1. Booking not Completed -&gt; denied.
A2. Duplicate rating by same rater -&gt; blocked.
A3. Score outside 1–5 -&gt; rejected.</t>
        </is>
      </c>
      <c r="I23" s="24" t="inlineStr">
        <is>
          <t>Rating stored; trust score updated on next run.</t>
        </is>
      </c>
      <c r="J23" s="24" t="inlineStr">
        <is>
          <t>Build Instructions §4; Build Plan §2</t>
        </is>
      </c>
      <c r="K23" s="24" t="inlineStr">
        <is>
          <t>v0.2</t>
        </is>
      </c>
    </row>
    <row r="24" ht="53.7" customHeight="1" s="18">
      <c r="A24" s="23" t="inlineStr">
        <is>
          <t>UC-23</t>
        </is>
      </c>
      <c r="B24" s="24" t="inlineStr">
        <is>
          <t>Raise a dispute</t>
        </is>
      </c>
      <c r="C24" s="24" t="inlineStr">
        <is>
          <t>Disputes</t>
        </is>
      </c>
      <c r="D24" s="24" t="inlineStr">
        <is>
          <t>User (Renter)</t>
        </is>
      </c>
      <c r="E24" s="24" t="inlineStr">
        <is>
          <t>FR-009</t>
        </is>
      </c>
      <c r="F24" s="24" t="inlineStr">
        <is>
          <t>Renter's booking is Confirmed (or Completed, per agreed window).</t>
        </is>
      </c>
      <c r="G24" s="24" t="inlineStr">
        <is>
          <t>1. Open booking -&gt; Raise Dispute.
2. Enter reason + evidence description.
3. Submit: dispute Open; booking prior status recorded; booking -&gt; Disputed; dispute id linked.
4. Admins notified.</t>
        </is>
      </c>
      <c r="H24" s="24" t="inlineStr">
        <is>
          <t>A1. Duplicate open dispute on same booking -&gt; blocked.
A2. Pending booking -&gt; not allowed.
A3. Empty reason -&gt; validation.</t>
        </is>
      </c>
      <c r="I24" s="24" t="inlineStr">
        <is>
          <t>Open dispute in admin queue; booking Disputed.</t>
        </is>
      </c>
      <c r="J24" s="24" t="inlineStr">
        <is>
          <t>Build Instructions §3.3; Progress Report P1 Dispute</t>
        </is>
      </c>
      <c r="K24" s="24" t="inlineStr">
        <is>
          <t>v0.3 / v1.3+</t>
        </is>
      </c>
    </row>
    <row r="25" ht="43.25" customHeight="1" s="18">
      <c r="A25" s="23" t="inlineStr">
        <is>
          <t>UC-24</t>
        </is>
      </c>
      <c r="B25" s="24" t="inlineStr">
        <is>
          <t>Resolve a dispute</t>
        </is>
      </c>
      <c r="C25" s="24" t="inlineStr">
        <is>
          <t>Disputes</t>
        </is>
      </c>
      <c r="D25" s="24" t="inlineStr">
        <is>
          <t>Admin</t>
        </is>
      </c>
      <c r="E25" s="24" t="inlineStr">
        <is>
          <t>FR-009</t>
        </is>
      </c>
      <c r="F25" s="24" t="inlineStr">
        <is>
          <t>Open dispute exists.</t>
        </is>
      </c>
      <c r="G25" s="24" t="inlineStr">
        <is>
          <t>1. Open Dispute Review Queue.
2. Review booking, reporter, reason, deposit reference.
3. Mark Founded or Dismissed with notes.
4. Reporter notified.</t>
        </is>
      </c>
      <c r="H25" s="24" t="inlineStr">
        <is>
          <t>A1. Founded -&gt; owner account + listing suspended, booking stays Disputed, public accountability count +1.
A2. Dismissed -&gt; booking restored to prior status, no flag.
A3. Non-admin attempts -&gt; denied.</t>
        </is>
      </c>
      <c r="I25" s="24" t="inlineStr">
        <is>
          <t>Dispute closed with decision-maker, notes and resolvedAt.</t>
        </is>
      </c>
      <c r="J25" s="24" t="inlineStr">
        <is>
          <t>Build Instructions §3.3; Build Plan §6</t>
        </is>
      </c>
      <c r="K25" s="24" t="inlineStr">
        <is>
          <t>v0.3 / v1.3+</t>
        </is>
      </c>
    </row>
    <row r="26" ht="43.25" customHeight="1" s="18">
      <c r="A26" s="23" t="inlineStr">
        <is>
          <t>UC-25</t>
        </is>
      </c>
      <c r="B26" s="24" t="inlineStr">
        <is>
          <t>Recompute trust scores</t>
        </is>
      </c>
      <c r="C26" s="24" t="inlineStr">
        <is>
          <t>Trust &amp; Fairness Score</t>
        </is>
      </c>
      <c r="D26" s="24" t="inlineStr">
        <is>
          <t>System (GitHub Actions)</t>
        </is>
      </c>
      <c r="E26" s="24" t="inlineStr">
        <is>
          <t>FR-010</t>
        </is>
      </c>
      <c r="F26" s="24" t="inlineStr">
        <is>
          <t>Verified listings, bookings, ratings exist.</t>
        </is>
      </c>
      <c r="G26" s="24" t="inlineStr">
        <is>
          <t>1. Workflow runs trust-score recomputation.
2. For each verified listing: booking score (recency-weighted Completed only), rating score, fairness score.
3. Write trustScores/{listingId} with label + computedAt.</t>
        </is>
      </c>
      <c r="H26" s="24" t="inlineStr">
        <is>
          <t>A1. No ratings -&gt; no divide-by-zero.
A2. No comparables -&gt; 'Insufficient data'.</t>
        </is>
      </c>
      <c r="I26" s="24" t="inlineStr">
        <is>
          <t>trustScores refreshed; Browse ordered by score.</t>
        </is>
      </c>
      <c r="J26" s="24" t="inlineStr">
        <is>
          <t>Build Plan §5</t>
        </is>
      </c>
      <c r="K26" s="24" t="inlineStr">
        <is>
          <t>v0.1–v1.3</t>
        </is>
      </c>
    </row>
    <row r="27" ht="43.25" customHeight="1" s="18">
      <c r="A27" s="23" t="inlineStr">
        <is>
          <t>UC-26</t>
        </is>
      </c>
      <c r="B27" s="24" t="inlineStr">
        <is>
          <t>Flag repeated self-booking pattern</t>
        </is>
      </c>
      <c r="C27" s="24" t="inlineStr">
        <is>
          <t>Anti-Gaming</t>
        </is>
      </c>
      <c r="D27" s="24" t="inlineStr">
        <is>
          <t>System / Admin</t>
        </is>
      </c>
      <c r="E27" s="24" t="inlineStr">
        <is>
          <t>FR-011</t>
        </is>
      </c>
      <c r="F27" s="24" t="inlineStr">
        <is>
          <t>Same renter–owner pair has completed bookings.</t>
        </is>
      </c>
      <c r="G27" s="24" t="inlineStr">
        <is>
          <t>1. Recompute detects &gt;= 3 completed bookings for same pair within 30 days.
2. Set manualReviewRequired = true, selfBookingPatternCount.
3. Admin reviews.</t>
        </is>
      </c>
      <c r="H27" s="24" t="inlineStr">
        <is>
          <t>A1. Only 2 in 30 days, or 3 spread over &gt; 30 days -&gt; no flag.</t>
        </is>
      </c>
      <c r="I27" s="24" t="inlineStr">
        <is>
          <t>Suspicious listing flagged for manual review.</t>
        </is>
      </c>
      <c r="J27" s="24" t="inlineStr">
        <is>
          <t>Build Instructions §5; Progress Report v1.3</t>
        </is>
      </c>
      <c r="K27" s="24" t="inlineStr">
        <is>
          <t>v1.3</t>
        </is>
      </c>
    </row>
    <row r="28" ht="32.8" customHeight="1" s="18">
      <c r="A28" s="23" t="inlineStr">
        <is>
          <t>UC-27</t>
        </is>
      </c>
      <c r="B28" s="24" t="inlineStr">
        <is>
          <t>View owner dashboard</t>
        </is>
      </c>
      <c r="C28" s="24" t="inlineStr">
        <is>
          <t>Owner Dashboard</t>
        </is>
      </c>
      <c r="D28" s="24" t="inlineStr">
        <is>
          <t>User (Owner)</t>
        </is>
      </c>
      <c r="E28" s="24" t="inlineStr">
        <is>
          <t>FR-012</t>
        </is>
      </c>
      <c r="F28" s="24" t="inlineStr">
        <is>
          <t>Signed in.</t>
        </is>
      </c>
      <c r="G28" s="24" t="inlineStr">
        <is>
          <t>1. Open My Dashboard.
2. See listings, inquiries, pending requests, confirmed bookings, completed stays.</t>
        </is>
      </c>
      <c r="H28" s="24" t="inlineStr">
        <is>
          <t>A1. New user -&gt; zeros/empty state with CTA.</t>
        </is>
      </c>
      <c r="I28" s="24" t="inlineStr">
        <is>
          <t>Counts match Firestore.</t>
        </is>
      </c>
      <c r="J28" s="24" t="inlineStr">
        <is>
          <t>Build Instructions §6 (#10); Design Guide p.12</t>
        </is>
      </c>
      <c r="K28" s="24" t="inlineStr">
        <is>
          <t>v1.3</t>
        </is>
      </c>
    </row>
    <row r="29" ht="32.8" customHeight="1" s="18">
      <c r="A29" s="23" t="inlineStr">
        <is>
          <t>UC-28</t>
        </is>
      </c>
      <c r="B29" s="24" t="inlineStr">
        <is>
          <t>View and manage notifications</t>
        </is>
      </c>
      <c r="C29" s="24" t="inlineStr">
        <is>
          <t>Notifications</t>
        </is>
      </c>
      <c r="D29" s="24" t="inlineStr">
        <is>
          <t>User</t>
        </is>
      </c>
      <c r="E29" s="24" t="inlineStr">
        <is>
          <t>FR-013, FR-020</t>
        </is>
      </c>
      <c r="F29" s="24" t="inlineStr">
        <is>
          <t>Signed in.</t>
        </is>
      </c>
      <c r="G29" s="24" t="inlineStr">
        <is>
          <t>1. Bell shows unread count.
2. Open /notifications.
3. Mark one / all read.</t>
        </is>
      </c>
      <c r="H29" s="24" t="inlineStr">
        <is>
          <t>A1. No notifications -&gt; empty state.
A2. Cannot read other users' notifications.
A3. Notification write failure does not fail the main action.</t>
        </is>
      </c>
      <c r="I29" s="24" t="inlineStr">
        <is>
          <t>Unread count accurate.</t>
        </is>
      </c>
      <c r="J29" s="24" t="inlineStr">
        <is>
          <t>Progress Report v1.3 Notifications</t>
        </is>
      </c>
      <c r="K29" s="24" t="inlineStr">
        <is>
          <t>v1.3</t>
        </is>
      </c>
    </row>
    <row r="30" ht="22.35" customHeight="1" s="18">
      <c r="A30" s="23" t="inlineStr">
        <is>
          <t>UC-29</t>
        </is>
      </c>
      <c r="B30" s="24" t="inlineStr">
        <is>
          <t>View admin dispute notifications</t>
        </is>
      </c>
      <c r="C30" s="24" t="inlineStr">
        <is>
          <t>Notifications</t>
        </is>
      </c>
      <c r="D30" s="24" t="inlineStr">
        <is>
          <t>Admin</t>
        </is>
      </c>
      <c r="E30" s="24" t="inlineStr">
        <is>
          <t>FR-013, FR-020</t>
        </is>
      </c>
      <c r="F30" s="24" t="inlineStr">
        <is>
          <t>Admin signed in.</t>
        </is>
      </c>
      <c r="G30" s="24" t="inlineStr">
        <is>
          <t>1. Admin bell inside /admin/* shows dispute notifications only.
2. Open admin inbox; mark read (shared read state).</t>
        </is>
      </c>
      <c r="H30" s="24" t="inlineStr">
        <is>
          <t>A1. Booking-request notices never appear for admins.
A2. Regular users cannot read __admins__ feed.</t>
        </is>
      </c>
      <c r="I30" s="24" t="inlineStr">
        <is>
          <t>Admin feed contains disputes only.</t>
        </is>
      </c>
      <c r="J30" s="24" t="inlineStr">
        <is>
          <t>Progress Report P0 Notification split</t>
        </is>
      </c>
      <c r="K30" s="24" t="inlineStr">
        <is>
          <t>v1.3+</t>
        </is>
      </c>
    </row>
    <row r="31" ht="53.7" customHeight="1" s="18">
      <c r="A31" s="23" t="inlineStr">
        <is>
          <t>UC-30</t>
        </is>
      </c>
      <c r="B31" s="24" t="inlineStr">
        <is>
          <t>Scrape Metrobank catalog</t>
        </is>
      </c>
      <c r="C31" s="24" t="inlineStr">
        <is>
          <t>Bank Catalog</t>
        </is>
      </c>
      <c r="D31" s="24" t="inlineStr">
        <is>
          <t>System (GitHub Actions)</t>
        </is>
      </c>
      <c r="E31" s="24" t="inlineStr">
        <is>
          <t>FR-014</t>
        </is>
      </c>
      <c r="F31" s="24" t="inlineStr">
        <is>
          <t>FIREBASE_SERVICE_ACCOUNT secret set.</t>
        </is>
      </c>
      <c r="G31" s="24" t="inlineStr">
        <is>
          <t>1. Workflow writes key file from secret.
2. Scraper fetches Metrobank pages.
3. Upserts bankProperties/metrobank_&lt;ref&gt; with merge, status active, lastSeen.
4. Missing previously-active records -&gt; delisted.</t>
        </is>
      </c>
      <c r="H31" s="24" t="inlineStr">
        <is>
          <t>A1. Layout change breaks scraper -&gt; job fails, marketplace unaffected.
A2. Secret never printed in logs.</t>
        </is>
      </c>
      <c r="I31" s="24" t="inlineStr">
        <is>
          <t>Catalog current with lastSeen.</t>
        </is>
      </c>
      <c r="J31" s="24" t="inlineStr">
        <is>
          <t>Build Plan §7; Firebase Setup §10</t>
        </is>
      </c>
      <c r="K31" s="24" t="inlineStr">
        <is>
          <t>v0.1</t>
        </is>
      </c>
    </row>
    <row r="32" ht="32.8" customHeight="1" s="18">
      <c r="A32" s="23" t="inlineStr">
        <is>
          <t>UC-31</t>
        </is>
      </c>
      <c r="B32" s="24" t="inlineStr">
        <is>
          <t>Browse bank-acquired catalog</t>
        </is>
      </c>
      <c r="C32" s="24" t="inlineStr">
        <is>
          <t>Bank Catalog</t>
        </is>
      </c>
      <c r="D32" s="24" t="inlineStr">
        <is>
          <t>Guest / User</t>
        </is>
      </c>
      <c r="E32" s="24" t="inlineStr">
        <is>
          <t>FR-014</t>
        </is>
      </c>
      <c r="F32" s="24" t="inlineStr">
        <is>
          <t>bankProperties populated.</t>
        </is>
      </c>
      <c r="G32" s="24" t="inlineStr">
        <is>
          <t>1. Open Bank Catalog.
2. Filter by bank, city, price.
3. Each card shows 'Last verified: &lt;date&gt;'.</t>
        </is>
      </c>
      <c r="H32" s="24" t="inlineStr">
        <is>
          <t>A1. Missing image -&gt; fallback image.
A2. No matches -&gt; empty state.
A3. Delisted properties hidden/marked.</t>
        </is>
      </c>
      <c r="I32" s="24" t="inlineStr">
        <is>
          <t>Read-only catalog displayed.</t>
        </is>
      </c>
      <c r="J32" s="24" t="inlineStr">
        <is>
          <t>Build Plan §7; Design Guide p.7</t>
        </is>
      </c>
      <c r="K32" s="24" t="inlineStr">
        <is>
          <t>v0.1</t>
        </is>
      </c>
    </row>
    <row r="33" ht="32.8" customHeight="1" s="18">
      <c r="A33" s="23" t="inlineStr">
        <is>
          <t>UC-32</t>
        </is>
      </c>
      <c r="B33" s="24" t="inlineStr">
        <is>
          <t>Estimate loan amortization</t>
        </is>
      </c>
      <c r="C33" s="24" t="inlineStr">
        <is>
          <t>Loan Calculator</t>
        </is>
      </c>
      <c r="D33" s="24" t="inlineStr">
        <is>
          <t>Guest / User</t>
        </is>
      </c>
      <c r="E33" s="24" t="inlineStr">
        <is>
          <t>FR-015</t>
        </is>
      </c>
      <c r="F33" s="24" t="inlineStr">
        <is>
          <t>On a bank property detail page.</t>
        </is>
      </c>
      <c r="G33" s="24" t="inlineStr">
        <is>
          <t>1. Price pre-filled.
2. Enter down payment %, annual rate, term years.
3. Monthly payment computed client-side.</t>
        </is>
      </c>
      <c r="H33" s="24" t="inlineStr">
        <is>
          <t>A1. 0% rate -&gt; P/n (no NaN).
A2. Negative/empty inputs -&gt; validation.
A3. Down payment &gt;= 100% -&gt; validation or zero.</t>
        </is>
      </c>
      <c r="I33" s="24" t="inlineStr">
        <is>
          <t>Estimate displayed.</t>
        </is>
      </c>
      <c r="J33" s="24" t="inlineStr">
        <is>
          <t>Build Plan §8</t>
        </is>
      </c>
      <c r="K33" s="24" t="inlineStr">
        <is>
          <t>v0.3</t>
        </is>
      </c>
    </row>
    <row r="34" ht="32.8" customHeight="1" s="18">
      <c r="A34" s="23" t="inlineStr">
        <is>
          <t>UC-33</t>
        </is>
      </c>
      <c r="B34" s="24" t="inlineStr">
        <is>
          <t>Monitor bank catalog status</t>
        </is>
      </c>
      <c r="C34" s="24" t="inlineStr">
        <is>
          <t>Admin Bank Catalog</t>
        </is>
      </c>
      <c r="D34" s="24" t="inlineStr">
        <is>
          <t>Admin</t>
        </is>
      </c>
      <c r="E34" s="24" t="inlineStr">
        <is>
          <t>FR-014, FR-016</t>
        </is>
      </c>
      <c r="F34" s="24" t="inlineStr">
        <is>
          <t>Admin signed in.</t>
        </is>
      </c>
      <c r="G34" s="24" t="inlineStr">
        <is>
          <t>1. Open Bank Catalog Status / scrape log.
2. See last run per bank.
3. Trigger/re-run workflow (via GitHub Actions).</t>
        </is>
      </c>
      <c r="H34" s="24" t="inlineStr">
        <is>
          <t>A1. Stale lastSeen reveals failed runs.</t>
        </is>
      </c>
      <c r="I34" s="24" t="inlineStr">
        <is>
          <t>Admin knows catalog freshness.</t>
        </is>
      </c>
      <c r="J34" s="24" t="inlineStr">
        <is>
          <t>Design Guide p.20</t>
        </is>
      </c>
      <c r="K34" s="24" t="inlineStr">
        <is>
          <t>v0.1</t>
        </is>
      </c>
    </row>
    <row r="35" ht="53.7" customHeight="1" s="18">
      <c r="A35" s="23" t="inlineStr">
        <is>
          <t>UC-34</t>
        </is>
      </c>
      <c r="B35" s="24" t="inlineStr">
        <is>
          <t>Access the admin panel</t>
        </is>
      </c>
      <c r="C35" s="24" t="inlineStr">
        <is>
          <t>Admin Access</t>
        </is>
      </c>
      <c r="D35" s="24" t="inlineStr">
        <is>
          <t>Admin</t>
        </is>
      </c>
      <c r="E35" s="24" t="inlineStr">
        <is>
          <t>FR-019</t>
        </is>
      </c>
      <c r="F35" s="24" t="inlineStr">
        <is>
          <t>Account exists.</t>
        </is>
      </c>
      <c r="G35" s="24" t="inlineStr">
        <is>
          <t>1. Navigate to /admin or a nested admin route.
2. Guard waits with visible status while profile loads.
3. Only role admin + status active renders admin routes.</t>
        </is>
      </c>
      <c r="H35" s="24" t="inlineStr">
        <is>
          <t>A1. Regular user -&gt; redirected.
A2. Suspended -&gt; suspended screen.
A3. Missing/unreadable/incomplete profile -&gt; fail closed with retry message.
A4. Signed out -&gt; login.</t>
        </is>
      </c>
      <c r="I35" s="24" t="inlineStr">
        <is>
          <t>Only verified active admins see admin UI.</t>
        </is>
      </c>
      <c r="J35" s="24" t="inlineStr">
        <is>
          <t>Progress Report P0 Admin login</t>
        </is>
      </c>
      <c r="K35" s="24" t="inlineStr">
        <is>
          <t>v1.3+</t>
        </is>
      </c>
    </row>
    <row r="36" ht="22.35" customHeight="1" s="18">
      <c r="A36" s="23" t="inlineStr">
        <is>
          <t>UC-35</t>
        </is>
      </c>
      <c r="B36" s="24" t="inlineStr">
        <is>
          <t>View admin dashboard</t>
        </is>
      </c>
      <c r="C36" s="24" t="inlineStr">
        <is>
          <t>Admin Dashboard</t>
        </is>
      </c>
      <c r="D36" s="24" t="inlineStr">
        <is>
          <t>Admin</t>
        </is>
      </c>
      <c r="E36" s="24" t="inlineStr">
        <is>
          <t>FR-016</t>
        </is>
      </c>
      <c r="F36" s="24" t="inlineStr">
        <is>
          <t>Admin signed in.</t>
        </is>
      </c>
      <c r="G36" s="24" t="inlineStr">
        <is>
          <t>1. Open Admin Dashboard.
2. See pending-listing count, open-dispute count, recent activity.</t>
        </is>
      </c>
      <c r="H36" s="24" t="inlineStr">
        <is>
          <t>A1. Load error -&gt; message + Retry.</t>
        </is>
      </c>
      <c r="I36" s="24" t="inlineStr">
        <is>
          <t>Counts match Firestore.</t>
        </is>
      </c>
      <c r="J36" s="24" t="inlineStr">
        <is>
          <t>Design Guide p.16; Progress Report v1.0</t>
        </is>
      </c>
      <c r="K36" s="24" t="inlineStr">
        <is>
          <t>v0.2 / v1.0</t>
        </is>
      </c>
    </row>
    <row r="37" ht="32.8" customHeight="1" s="18">
      <c r="A37" s="23" t="inlineStr">
        <is>
          <t>UC-36</t>
        </is>
      </c>
      <c r="B37" s="24" t="inlineStr">
        <is>
          <t>Suspend or reinstate a user</t>
        </is>
      </c>
      <c r="C37" s="24" t="inlineStr">
        <is>
          <t>User Management</t>
        </is>
      </c>
      <c r="D37" s="24" t="inlineStr">
        <is>
          <t>Admin</t>
        </is>
      </c>
      <c r="E37" s="24" t="inlineStr">
        <is>
          <t>FR-016</t>
        </is>
      </c>
      <c r="F37" s="24" t="inlineStr">
        <is>
          <t>Admin signed in.</t>
        </is>
      </c>
      <c r="G37" s="24" t="inlineStr">
        <is>
          <t>1. Open User Management.
2. Suspend account (danger button, confirm).
3. Later reinstate.</t>
        </is>
      </c>
      <c r="H37" s="24" t="inlineStr">
        <is>
          <t>A1. Suspended user cannot list, book, rate, or dispute.
A2. Admin cannot suspend self (recommended check).</t>
        </is>
      </c>
      <c r="I37" s="24" t="inlineStr">
        <is>
          <t>User status toggled.</t>
        </is>
      </c>
      <c r="J37" s="24" t="inlineStr">
        <is>
          <t>Design Guide p.19</t>
        </is>
      </c>
      <c r="K37" s="24" t="inlineStr">
        <is>
          <t>v0.2</t>
        </is>
      </c>
    </row>
    <row r="38" ht="43.25" customHeight="1" s="18">
      <c r="A38" s="23" t="inlineStr">
        <is>
          <t>UC-37</t>
        </is>
      </c>
      <c r="B38" s="24" t="inlineStr">
        <is>
          <t>Change appearance and accessibility settings</t>
        </is>
      </c>
      <c r="C38" s="24" t="inlineStr">
        <is>
          <t>Navigation &amp; Settings</t>
        </is>
      </c>
      <c r="D38" s="24" t="inlineStr">
        <is>
          <t>User</t>
        </is>
      </c>
      <c r="E38" s="24" t="inlineStr">
        <is>
          <t>FR-021</t>
        </is>
      </c>
      <c r="F38" s="24" t="inlineStr">
        <is>
          <t>Any user (signed in).</t>
        </is>
      </c>
      <c r="G38" s="24" t="inlineStr">
        <is>
          <t>1. Open Settings.
2. Choose System/Light/Dark.
3. Toggle Larger text, High contrast, Reduce motion.
4. Reload -&gt; preferences persist.</t>
        </is>
      </c>
      <c r="H38" s="24" t="inlineStr">
        <is>
          <t>A1. System mode follows OS preference changes.
A2. Switch thumbs visible in dark mode.</t>
        </is>
      </c>
      <c r="I38" s="24" t="inlineStr">
        <is>
          <t>Preferences applied and persisted.</t>
        </is>
      </c>
      <c r="J38" s="24" t="inlineStr">
        <is>
          <t>Progress Report P2 Settings; Design Guide B7</t>
        </is>
      </c>
      <c r="K38" s="24" t="inlineStr">
        <is>
          <t>v1.3+</t>
        </is>
      </c>
    </row>
    <row r="39" ht="32.8" customHeight="1" s="18">
      <c r="A39" s="23" t="inlineStr">
        <is>
          <t>UC-38</t>
        </is>
      </c>
      <c r="B39" s="24" t="inlineStr">
        <is>
          <t>Open retired Saved Searches URL</t>
        </is>
      </c>
      <c r="C39" s="24" t="inlineStr">
        <is>
          <t>Saved Searches (Retired)</t>
        </is>
      </c>
      <c r="D39" s="24" t="inlineStr">
        <is>
          <t>User</t>
        </is>
      </c>
      <c r="E39" s="24" t="inlineStr">
        <is>
          <t>FR-017 (retired)</t>
        </is>
      </c>
      <c r="F39" s="24" t="inlineStr">
        <is>
          <t>Legacy link or bookmark.</t>
        </is>
      </c>
      <c r="G39" s="24" t="inlineStr">
        <is>
          <t>1. Open /saved-searches.
2. Redirected to Browse.
3. Existing savedSearches records are not deleted.</t>
        </is>
      </c>
      <c r="H39" s="24" t="inlineStr">
        <is>
          <t>A1. Menu no longer shows Saved Searches.</t>
        </is>
      </c>
      <c r="I39" s="24" t="inlineStr">
        <is>
          <t>Safe redirect; data preserved.</t>
        </is>
      </c>
      <c r="J39" s="24" t="inlineStr">
        <is>
          <t>Progress Report cleanup 2026-09-30</t>
        </is>
      </c>
      <c r="K39" s="24" t="inlineStr">
        <is>
          <t>v1.3+</t>
        </is>
      </c>
    </row>
    <row r="40" ht="32.8" customHeight="1" s="18">
      <c r="A40" s="23" t="inlineStr">
        <is>
          <t>UC-39</t>
        </is>
      </c>
      <c r="B40" s="24" t="inlineStr">
        <is>
          <t>Seed synthetic demo data</t>
        </is>
      </c>
      <c r="C40" s="24" t="inlineStr">
        <is>
          <t>Operations</t>
        </is>
      </c>
      <c r="D40" s="24" t="inlineStr">
        <is>
          <t>Developer</t>
        </is>
      </c>
      <c r="E40" s="24" t="inlineStr">
        <is>
          <t>NFR</t>
        </is>
      </c>
      <c r="F40" s="24" t="inlineStr">
        <is>
          <t>Firebase Admin credentials available.</t>
        </is>
      </c>
      <c r="G40" s="24" t="inlineStr">
        <is>
          <t>1. Run seed_demo_data.py --dry-run.
2. Review counts.
3. Run seed_demo_data.py.</t>
        </is>
      </c>
      <c r="H40" s="24" t="inlineStr">
        <is>
          <t>A1. No real IDs, passwords or Auth users created.
A2. Placeholder documents labeled synthetic.</t>
        </is>
      </c>
      <c r="I40" s="24" t="inlineStr">
        <is>
          <t>Demo dataset present.</t>
        </is>
      </c>
      <c r="J40" s="24" t="inlineStr">
        <is>
          <t>Progress Report v0.3 validation</t>
        </is>
      </c>
      <c r="K40" s="24" t="inlineStr">
        <is>
          <t>v0.3</t>
        </is>
      </c>
    </row>
    <row r="41" ht="43.25" customHeight="1" s="18">
      <c r="A41" s="23" t="inlineStr">
        <is>
          <t>UC-40</t>
        </is>
      </c>
      <c r="B41" s="24" t="inlineStr">
        <is>
          <t>Migrate legacy listing addresses</t>
        </is>
      </c>
      <c r="C41" s="24" t="inlineStr">
        <is>
          <t>Operations</t>
        </is>
      </c>
      <c r="D41" s="24" t="inlineStr">
        <is>
          <t>Developer / Admin</t>
        </is>
      </c>
      <c r="E41" s="24" t="inlineStr">
        <is>
          <t>FR-022</t>
        </is>
      </c>
      <c r="F41" s="24" t="inlineStr">
        <is>
          <t>Firestore backed up; maintenance window.</t>
        </is>
      </c>
      <c r="G41" s="24" t="inlineStr">
        <is>
          <t>1. Run migrate_listing_addresses.py (dry run default).
2. Inspect counts + conflicts.
3. Run with --apply.
4. Deploy rules and frontend.</t>
        </is>
      </c>
      <c r="H41" s="24" t="inlineStr">
        <is>
          <t>A1. Re-run is idempotent.
A2. Existing private addresses preserved.
A3. Conflicting-owner records reported, not overwritten.</t>
        </is>
      </c>
      <c r="I41" s="24" t="inlineStr">
        <is>
          <t>Public listings have no address field; addresses in listingPrivate.</t>
        </is>
      </c>
      <c r="J41" s="24" t="inlineStr">
        <is>
          <t>Progress Report P2 Map</t>
        </is>
      </c>
      <c r="K41" s="24" t="inlineStr">
        <is>
          <t>v1.3+</t>
        </is>
      </c>
    </row>
    <row r="42" ht="22.35" customHeight="1" s="18">
      <c r="A42" s="23" t="inlineStr">
        <is>
          <t>UC-41</t>
        </is>
      </c>
      <c r="B42" s="24" t="inlineStr">
        <is>
          <t>Enforce data-access rules</t>
        </is>
      </c>
      <c r="C42" s="24" t="inlineStr">
        <is>
          <t>Security (Firestore Rules)</t>
        </is>
      </c>
      <c r="D42" s="24" t="inlineStr">
        <is>
          <t>System</t>
        </is>
      </c>
      <c r="E42" s="24" t="inlineStr">
        <is>
          <t>NFR-SEC</t>
        </is>
      </c>
      <c r="F42" s="24" t="inlineStr">
        <is>
          <t>Latest firestore.rules deployed.</t>
        </is>
      </c>
      <c r="G42" s="24" t="inlineStr">
        <is>
          <t>1. Every client read/write is evaluated by rules.
2. Deny-all fallback for unmatched paths.</t>
        </is>
      </c>
      <c r="H42" s="24" t="inlineStr">
        <is>
          <t>A1. Direct SDK writes bypassing UI are denied when forbidden.</t>
        </is>
      </c>
      <c r="I42" s="24" t="inlineStr">
        <is>
          <t>Data protected even against malicious clients.</t>
        </is>
      </c>
      <c r="J42" s="24" t="inlineStr">
        <is>
          <t>Firebase Setup §11; Progress Report backend readiness</t>
        </is>
      </c>
      <c r="K42" s="24" t="inlineStr">
        <is>
          <t>v0.1–v1.3</t>
        </is>
      </c>
    </row>
    <row r="43" ht="22.35" customHeight="1" s="18">
      <c r="A43" s="23" t="inlineStr">
        <is>
          <t>UC-42</t>
        </is>
      </c>
      <c r="B43" s="24" t="inlineStr">
        <is>
          <t>Recover from loading and runtime errors</t>
        </is>
      </c>
      <c r="C43" s="24" t="inlineStr">
        <is>
          <t>Release Hardening</t>
        </is>
      </c>
      <c r="D43" s="24" t="inlineStr">
        <is>
          <t>User / Admin</t>
        </is>
      </c>
      <c r="E43" s="24" t="inlineStr">
        <is>
          <t>FR-016, NFR-REL</t>
        </is>
      </c>
      <c r="F43" s="24" t="inlineStr">
        <is>
          <t>App running.</t>
        </is>
      </c>
      <c r="G43" s="24" t="inlineStr">
        <is>
          <t>1. Lazy routes show accessible loading fallback.
2. Runtime error -&gt; top-level error screen with Reload.</t>
        </is>
      </c>
      <c r="H43" s="24" t="inlineStr">
        <is>
          <t>A1. Slow network -&gt; fallback, not blank page.</t>
        </is>
      </c>
      <c r="I43" s="24" t="inlineStr">
        <is>
          <t>No blank screens.</t>
        </is>
      </c>
      <c r="J43" s="24" t="inlineStr">
        <is>
          <t>Progress Report v1.0</t>
        </is>
      </c>
      <c r="K43" s="24" t="inlineStr">
        <is>
          <t>v1.0</t>
        </is>
      </c>
    </row>
    <row r="44" ht="64.15000000000001" customHeight="1" s="18">
      <c r="A44" s="25" t="inlineStr">
        <is>
          <t>UC-43</t>
        </is>
      </c>
      <c r="B44" s="26" t="inlineStr">
        <is>
          <t>Choose listing purpose and price period</t>
        </is>
      </c>
      <c r="C44" s="26" t="inlineStr">
        <is>
          <t>Listing Purpose</t>
        </is>
      </c>
      <c r="D44" s="26" t="inlineStr">
        <is>
          <t>User (Owner)</t>
        </is>
      </c>
      <c r="E44" s="26" t="inlineStr">
        <is>
          <t>FR-025</t>
        </is>
      </c>
      <c r="F44" s="26" t="inlineStr">
        <is>
          <t>Signed in; creating or editing a listing.</t>
        </is>
      </c>
      <c r="G44" s="26" t="inlineStr">
        <is>
          <t>1. Choose For rent or For sale.
2. For rent: choose Short-term (nightly) or Long-term (monthly).
3. Enter the price for that period (or one-time asking price for sale).
4. Submit.</t>
        </is>
      </c>
      <c r="H44" s="26" t="inlineStr">
        <is>
          <t>A1. No purpose chosen -&gt; blocked.
A2. Sale listing -&gt; booking controls hidden; booking request rejected by rules.</t>
        </is>
      </c>
      <c r="I44" s="26" t="inlineStr">
        <is>
          <t>Purpose and pricePeriod stored; shown on Browse, Detail, Admin review and My Listings.</t>
        </is>
      </c>
      <c r="J44" s="26" t="inlineStr">
        <is>
          <t>Progress Report Oct 1 follow-up</t>
        </is>
      </c>
      <c r="K44" s="26" t="inlineStr">
        <is>
          <t>v1.3+</t>
        </is>
      </c>
    </row>
    <row r="45" ht="64.15000000000001" customHeight="1" s="18">
      <c r="A45" s="25" t="inlineStr">
        <is>
          <t>UC-44</t>
        </is>
      </c>
      <c r="B45" s="26" t="inlineStr">
        <is>
          <t>Receive admin alert for a new listing submission</t>
        </is>
      </c>
      <c r="C45" s="26" t="inlineStr">
        <is>
          <t>Notifications</t>
        </is>
      </c>
      <c r="D45" s="26" t="inlineStr">
        <is>
          <t>Admin</t>
        </is>
      </c>
      <c r="E45" s="26" t="inlineStr">
        <is>
          <t>FR-026</t>
        </is>
      </c>
      <c r="F45" s="26" t="inlineStr">
        <is>
          <t>Admin signed in.</t>
        </is>
      </c>
      <c r="G45" s="26" t="inlineStr">
        <is>
          <t>1. Owner submits listing.
2. System writes the pending listing and a listing_submitted notification to __admins__ in one batch.
3. Admin opens bell -&gt; alert links to the review item.</t>
        </is>
      </c>
      <c r="H45" s="26" t="inlineStr">
        <is>
          <t>A1. Notification write rejected -&gt; whole batch fails, owner sees error and can retry.</t>
        </is>
      </c>
      <c r="I45" s="26" t="inlineStr">
        <is>
          <t>Admin sees one alert per submission.</t>
        </is>
      </c>
      <c r="J45" s="26" t="inlineStr">
        <is>
          <t>Progress Report Oct 1 follow-up</t>
        </is>
      </c>
      <c r="K45" s="26" t="inlineStr">
        <is>
          <t>v1.3+</t>
        </is>
      </c>
    </row>
    <row r="46" ht="64.15000000000001" customHeight="1" s="18">
      <c r="A46" s="25" t="inlineStr">
        <is>
          <t>UC-45</t>
        </is>
      </c>
      <c r="B46" s="26" t="inlineStr">
        <is>
          <t>Preview private verification documents</t>
        </is>
      </c>
      <c r="C46" s="26" t="inlineStr">
        <is>
          <t>Private Documents</t>
        </is>
      </c>
      <c r="D46" s="26" t="inlineStr">
        <is>
          <t>Admin / Owner</t>
        </is>
      </c>
      <c r="E46" s="26" t="inlineStr">
        <is>
          <t>FR-028</t>
        </is>
      </c>
      <c r="F46" s="26" t="inlineStr">
        <is>
          <t>Listing has documents stored as Cloudinary authenticated assets.</t>
        </is>
      </c>
      <c r="G46" s="26" t="inlineStr">
        <is>
          <t>1. Admin opens review item (or owner opens own listing).
2. Client calls GET /api/listings/{id}/documents/{kind} with ID token.
3. API checks admin or owner, returns a signed download URL that expires (default 5 min).
4. Image/PDF preview renders.</t>
        </is>
      </c>
      <c r="H46" s="26" t="inlineStr">
        <is>
          <t>A1. Other user -&gt; 403.
A2. URL reused after expiry -&gt; Cloudinary rejects.
A3. Legacy record -&gt; falls back to migrated asset or shows "migration pending".</t>
        </is>
      </c>
      <c r="I46" s="26" t="inlineStr">
        <is>
          <t>Document visible only to owner/admin for a short time; no permanent public URL exists.</t>
        </is>
      </c>
      <c r="J46" s="26" t="inlineStr">
        <is>
          <t>Security &amp; Privacy §5</t>
        </is>
      </c>
      <c r="K46" s="26" t="inlineStr">
        <is>
          <t>v1.4</t>
        </is>
      </c>
    </row>
    <row r="47" ht="64.15000000000001" customHeight="1" s="18">
      <c r="A47" s="25" t="inlineStr">
        <is>
          <t>UC-46</t>
        </is>
      </c>
      <c r="B47" s="26" t="inlineStr">
        <is>
          <t>Rotate the Firebase service-account key</t>
        </is>
      </c>
      <c r="C47" s="26" t="inlineStr">
        <is>
          <t>Operations</t>
        </is>
      </c>
      <c r="D47" s="26" t="inlineStr">
        <is>
          <t>Team lead</t>
        </is>
      </c>
      <c r="E47" s="26" t="inlineStr">
        <is>
          <t>NFR-SEC-02</t>
        </is>
      </c>
      <c r="F47" s="26" t="inlineStr">
        <is>
          <t>Owner access to the Google Cloud project.</t>
        </is>
      </c>
      <c r="G47" s="26" t="inlineStr">
        <is>
          <t>1. Create a new key per consumer (GitHub Actions, API).
2. Update GitHub secret and Vercel env vars.
3. Re-run workflow and API health check.
4. Delete the old key.
5. Scan Git history for leaked keys.</t>
        </is>
      </c>
      <c r="H47" s="26" t="inlineStr">
        <is>
          <t>A1. Workflow fails after rotation -&gt; secret pasted wrongly; fix and re-run before deleting old key.</t>
        </is>
      </c>
      <c r="I47" s="26" t="inlineStr">
        <is>
          <t>Old key cannot authenticate; history scan recorded.</t>
        </is>
      </c>
      <c r="J47" s="26" t="inlineStr">
        <is>
          <t>Infrastructure §6; Progress Report F-01</t>
        </is>
      </c>
      <c r="K47" s="26" t="inlineStr">
        <is>
          <t>v1.4</t>
        </is>
      </c>
    </row>
    <row r="48" ht="64.15000000000001" customHeight="1" s="18">
      <c r="A48" s="25" t="inlineStr">
        <is>
          <t>UC-47</t>
        </is>
      </c>
      <c r="B48" s="26" t="inlineStr">
        <is>
          <t>Back up Firestore without Blaze</t>
        </is>
      </c>
      <c r="C48" s="26" t="inlineStr">
        <is>
          <t>Operations</t>
        </is>
      </c>
      <c r="D48" s="26" t="inlineStr">
        <is>
          <t>Team lead</t>
        </is>
      </c>
      <c r="E48" s="26" t="inlineStr">
        <is>
          <t>NFR-REL-02</t>
        </is>
      </c>
      <c r="F48" s="26" t="inlineStr">
        <is>
          <t>Admin credentials in a trusted machine.</t>
        </is>
      </c>
      <c r="G48" s="26" t="inlineStr">
        <is>
          <t>1. Run the JSON backup script.
2. Verify document counts per collection.
3. Store the archive privately.</t>
        </is>
      </c>
      <c r="H48" s="26" t="inlineStr">
        <is>
          <t>A1. Quota exceeded -&gt; resume the next day; do not run migrations without a fresh backup.</t>
        </is>
      </c>
      <c r="I48" s="26" t="inlineStr">
        <is>
          <t>Restorable JSON snapshot dated before any migration.</t>
        </is>
      </c>
      <c r="J48" s="26" t="inlineStr">
        <is>
          <t>Infrastructure §8</t>
        </is>
      </c>
      <c r="K48" s="26" t="inlineStr">
        <is>
          <t>v1.4</t>
        </is>
      </c>
    </row>
    <row r="49" ht="64.15000000000001" customHeight="1" s="18">
      <c r="A49" s="25" t="inlineStr">
        <is>
          <t>UC-48</t>
        </is>
      </c>
      <c r="B49" s="26" t="inlineStr">
        <is>
          <t>Migrate verification documents to private delivery</t>
        </is>
      </c>
      <c r="C49" s="26" t="inlineStr">
        <is>
          <t>Private Documents</t>
        </is>
      </c>
      <c r="D49" s="26" t="inlineStr">
        <is>
          <t>Team lead</t>
        </is>
      </c>
      <c r="E49" s="26" t="inlineStr">
        <is>
          <t>FR-028</t>
        </is>
      </c>
      <c r="F49" s="26" t="inlineStr">
        <is>
          <t>Backup taken; API deployed.</t>
        </is>
      </c>
      <c r="G49" s="26" t="inlineStr">
        <is>
          <t>1. Run migration in dry-run mode and review counts.
2. Apply: change each legacy asset to authenticated type, store publicId in listingPrivate, remove URL fields from listings.
3. Spot-check old URLs no longer load.</t>
        </is>
      </c>
      <c r="H49" s="26" t="inlineStr">
        <is>
          <t>A1. Asset missing in Cloudinary -&gt; report row for manual follow-up.</t>
        </is>
      </c>
      <c r="I49" s="26" t="inlineStr">
        <is>
          <t>No verification document is reachable from a public URL.</t>
        </is>
      </c>
      <c r="J49" s="26" t="inlineStr">
        <is>
          <t>Security &amp; Privacy §5</t>
        </is>
      </c>
      <c r="K49" s="26" t="inlineStr">
        <is>
          <t>v1.4</t>
        </is>
      </c>
    </row>
  </sheetData>
  <autoFilter ref="A1:K4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8" customWidth="1" style="17" min="2" max="2"/>
    <col width="11" customWidth="1" style="17" min="3" max="3"/>
    <col width="20" customWidth="1" style="17" min="4" max="4"/>
    <col width="30" customWidth="1" style="17" min="5" max="5"/>
    <col width="13" customWidth="1" style="17" min="6" max="6"/>
    <col width="9" customWidth="1" style="17" min="7" max="7"/>
    <col width="22" customWidth="1" style="17" min="8" max="8"/>
    <col width="45" customWidth="1" style="17" min="9" max="9"/>
    <col width="20" customWidth="1" style="17" min="10" max="10"/>
    <col width="42" customWidth="1" style="17" min="11" max="11"/>
    <col width="14" customWidth="1" style="17" min="12" max="12"/>
    <col width="12" customWidth="1" style="17" min="13" max="13"/>
    <col width="25" customWidth="1" style="17" min="14" max="14"/>
    <col width="12" customWidth="1" style="17" min="15" max="15"/>
    <col width="11" customWidth="1" style="17" min="16" max="16"/>
    <col width="30" customWidth="1" style="17" min="17" max="17"/>
  </cols>
  <sheetData>
    <row r="1" ht="30" customHeight="1" s="18">
      <c r="A1" s="22" t="inlineStr">
        <is>
          <t>TC ID</t>
        </is>
      </c>
      <c r="B1" s="22" t="inlineStr">
        <is>
          <t>UC ID</t>
        </is>
      </c>
      <c r="C1" s="22" t="inlineStr">
        <is>
          <t>FR ID</t>
        </is>
      </c>
      <c r="D1" s="22" t="inlineStr">
        <is>
          <t>Module</t>
        </is>
      </c>
      <c r="E1" s="22" t="inlineStr">
        <is>
          <t>Title</t>
        </is>
      </c>
      <c r="F1" s="22" t="inlineStr">
        <is>
          <t>Test Type</t>
        </is>
      </c>
      <c r="G1" s="22" t="inlineStr">
        <is>
          <t>Priority</t>
        </is>
      </c>
      <c r="H1" s="22" t="inlineStr">
        <is>
          <t>Preconditions</t>
        </is>
      </c>
      <c r="I1" s="22" t="inlineStr">
        <is>
          <t>Test Steps</t>
        </is>
      </c>
      <c r="J1" s="22" t="inlineStr">
        <is>
          <t>Test Data</t>
        </is>
      </c>
      <c r="K1" s="22" t="inlineStr">
        <is>
          <t>Expected Result</t>
        </is>
      </c>
      <c r="L1" s="22" t="inlineStr">
        <is>
          <t>Origin</t>
        </is>
      </c>
      <c r="M1" s="22" t="inlineStr">
        <is>
          <t>Status</t>
        </is>
      </c>
      <c r="N1" s="22" t="inlineStr">
        <is>
          <t>Actual Result</t>
        </is>
      </c>
      <c r="O1" s="22" t="inlineStr">
        <is>
          <t>Tester</t>
        </is>
      </c>
      <c r="P1" s="22" t="inlineStr">
        <is>
          <t>Date</t>
        </is>
      </c>
      <c r="Q1" s="22" t="inlineStr">
        <is>
          <t>Remarks</t>
        </is>
      </c>
    </row>
    <row r="2" ht="22.35" customHeight="1" s="18">
      <c r="A2" s="23" t="inlineStr">
        <is>
          <t>TC-AUTH-001</t>
        </is>
      </c>
      <c r="B2" s="24" t="inlineStr">
        <is>
          <t>UC-01</t>
        </is>
      </c>
      <c r="C2" s="24" t="inlineStr">
        <is>
          <t>FR-001</t>
        </is>
      </c>
      <c r="D2" s="24" t="inlineStr">
        <is>
          <t>Authentication</t>
        </is>
      </c>
      <c r="E2" s="24" t="inlineStr">
        <is>
          <t>Register with valid email/password</t>
        </is>
      </c>
      <c r="F2" s="24" t="inlineStr">
        <is>
          <t>Functional</t>
        </is>
      </c>
      <c r="G2" s="24" t="inlineStr">
        <is>
          <t>High</t>
        </is>
      </c>
      <c r="H2" s="24" t="inlineStr">
        <is>
          <t>Signed out</t>
        </is>
      </c>
      <c r="I2" s="24" t="inlineStr">
        <is>
          <t>1. Open Register. 2. Enter name, email, password. 3. Submit.</t>
        </is>
      </c>
      <c r="J2" s="24" t="inlineStr">
        <is>
          <t>New email; password &gt;= 6 chars</t>
        </is>
      </c>
      <c r="K2" s="24" t="inlineStr">
        <is>
          <t>Account created; users/{uid} saved with role user, status active; redirected.</t>
        </is>
      </c>
      <c r="L2" s="24" t="inlineStr">
        <is>
          <t>Existing (QA doc)</t>
        </is>
      </c>
      <c r="M2" s="27" t="inlineStr">
        <is>
          <t>Passed (Dev)</t>
        </is>
      </c>
      <c r="N2" s="27" t="n"/>
      <c r="O2" s="27" t="n"/>
      <c r="P2" s="27" t="n"/>
      <c r="Q2" s="24" t="inlineStr">
        <is>
          <t>Re-run on deployed build.</t>
        </is>
      </c>
    </row>
    <row r="3" ht="22.35" customHeight="1" s="18">
      <c r="A3" s="23" t="inlineStr">
        <is>
          <t>TC-AUTH-002</t>
        </is>
      </c>
      <c r="B3" s="24" t="inlineStr">
        <is>
          <t>UC-02</t>
        </is>
      </c>
      <c r="C3" s="24" t="inlineStr">
        <is>
          <t>FR-001</t>
        </is>
      </c>
      <c r="D3" s="24" t="inlineStr">
        <is>
          <t>Authentication</t>
        </is>
      </c>
      <c r="E3" s="24" t="inlineStr">
        <is>
          <t>Login with wrong password</t>
        </is>
      </c>
      <c r="F3" s="24" t="inlineStr">
        <is>
          <t>Negative</t>
        </is>
      </c>
      <c r="G3" s="24" t="inlineStr">
        <is>
          <t>High</t>
        </is>
      </c>
      <c r="H3" s="24" t="inlineStr">
        <is>
          <t>Registered account</t>
        </is>
      </c>
      <c r="I3" s="24" t="inlineStr">
        <is>
          <t>1. Open Login. 2. Enter registered email + wrong password. 3. Submit.</t>
        </is>
      </c>
      <c r="J3" s="24" t="inlineStr">
        <is>
          <t>Registered test account</t>
        </is>
      </c>
      <c r="K3" s="24" t="inlineStr">
        <is>
          <t>Inline error shown; no session created.</t>
        </is>
      </c>
      <c r="L3" s="24" t="inlineStr">
        <is>
          <t>Existing (QA doc)</t>
        </is>
      </c>
      <c r="M3" s="27" t="inlineStr">
        <is>
          <t>Passed (Dev)</t>
        </is>
      </c>
      <c r="N3" s="27" t="n"/>
      <c r="O3" s="27" t="n"/>
      <c r="P3" s="27" t="n"/>
      <c r="Q3" s="24" t="n"/>
    </row>
    <row r="4" ht="22.35" customHeight="1" s="18">
      <c r="A4" s="23" t="inlineStr">
        <is>
          <t>TC-AUTH-003</t>
        </is>
      </c>
      <c r="B4" s="24" t="inlineStr">
        <is>
          <t>UC-03</t>
        </is>
      </c>
      <c r="C4" s="24" t="inlineStr">
        <is>
          <t>FR-001</t>
        </is>
      </c>
      <c r="D4" s="24" t="inlineStr">
        <is>
          <t>Authentication</t>
        </is>
      </c>
      <c r="E4" s="24" t="inlineStr">
        <is>
          <t>Google sign-in creates profile on first login</t>
        </is>
      </c>
      <c r="F4" s="24" t="inlineStr">
        <is>
          <t>Functional</t>
        </is>
      </c>
      <c r="G4" s="24" t="inlineStr">
        <is>
          <t>High</t>
        </is>
      </c>
      <c r="H4" s="24" t="inlineStr">
        <is>
          <t>Google sign-in enabled</t>
        </is>
      </c>
      <c r="I4" s="24" t="inlineStr">
        <is>
          <t>1. Click Continue with Google. 2. Pick account.</t>
        </is>
      </c>
      <c r="J4" s="24" t="inlineStr">
        <is>
          <t>Google test account</t>
        </is>
      </c>
      <c r="K4" s="24" t="inlineStr">
        <is>
          <t>Signed in; profile created on first sign-in only.</t>
        </is>
      </c>
      <c r="L4" s="24" t="inlineStr">
        <is>
          <t>Existing (QA doc)</t>
        </is>
      </c>
      <c r="M4" s="27" t="inlineStr">
        <is>
          <t>Passed (Dev)</t>
        </is>
      </c>
      <c r="N4" s="27" t="n"/>
      <c r="O4" s="27" t="n"/>
      <c r="P4" s="27" t="n"/>
      <c r="Q4" s="24" t="n"/>
    </row>
    <row r="5" ht="15" customHeight="1" s="18">
      <c r="A5" s="23" t="inlineStr">
        <is>
          <t>TC-AUTH-004</t>
        </is>
      </c>
      <c r="B5" s="24" t="inlineStr">
        <is>
          <t>UC-01</t>
        </is>
      </c>
      <c r="C5" s="24" t="inlineStr">
        <is>
          <t>FR-001</t>
        </is>
      </c>
      <c r="D5" s="24" t="inlineStr">
        <is>
          <t>Authentication</t>
        </is>
      </c>
      <c r="E5" s="24" t="inlineStr">
        <is>
          <t>Register with an email already in use</t>
        </is>
      </c>
      <c r="F5" s="24" t="inlineStr">
        <is>
          <t>Negative</t>
        </is>
      </c>
      <c r="G5" s="24" t="inlineStr">
        <is>
          <t>Medium</t>
        </is>
      </c>
      <c r="H5" s="24" t="inlineStr">
        <is>
          <t>Account exists</t>
        </is>
      </c>
      <c r="I5" s="24" t="inlineStr">
        <is>
          <t>1. Register again with same email.</t>
        </is>
      </c>
      <c r="J5" s="24" t="inlineStr">
        <is>
          <t>Existing email</t>
        </is>
      </c>
      <c r="K5" s="24" t="inlineStr">
        <is>
          <t>Inline 'email already in use' error; no second profile.</t>
        </is>
      </c>
      <c r="L5" s="24" t="inlineStr">
        <is>
          <t>New</t>
        </is>
      </c>
      <c r="M5" s="27" t="inlineStr">
        <is>
          <t>Not Run</t>
        </is>
      </c>
      <c r="N5" s="27" t="n"/>
      <c r="O5" s="27" t="n"/>
      <c r="P5" s="27" t="n"/>
      <c r="Q5" s="24" t="n"/>
    </row>
    <row r="6" ht="22.35" customHeight="1" s="18">
      <c r="A6" s="23" t="inlineStr">
        <is>
          <t>TC-AUTH-005</t>
        </is>
      </c>
      <c r="B6" s="24" t="inlineStr">
        <is>
          <t>UC-01</t>
        </is>
      </c>
      <c r="C6" s="24" t="inlineStr">
        <is>
          <t>FR-001</t>
        </is>
      </c>
      <c r="D6" s="24" t="inlineStr">
        <is>
          <t>Authentication</t>
        </is>
      </c>
      <c r="E6" s="24" t="inlineStr">
        <is>
          <t>Register with weak password / invalid email</t>
        </is>
      </c>
      <c r="F6" s="24" t="inlineStr">
        <is>
          <t>Negative</t>
        </is>
      </c>
      <c r="G6" s="24" t="inlineStr">
        <is>
          <t>Medium</t>
        </is>
      </c>
      <c r="H6" s="24" t="inlineStr">
        <is>
          <t>Signed out</t>
        </is>
      </c>
      <c r="I6" s="24" t="inlineStr">
        <is>
          <t>1. Enter 'abc' as password, or 'user@' as email. 2. Submit.</t>
        </is>
      </c>
      <c r="J6" s="24" t="inlineStr">
        <is>
          <t>Invalid inputs</t>
        </is>
      </c>
      <c r="K6" s="24" t="inlineStr">
        <is>
          <t>Inline field errors; submit blocked.</t>
        </is>
      </c>
      <c r="L6" s="24" t="inlineStr">
        <is>
          <t>New</t>
        </is>
      </c>
      <c r="M6" s="27" t="inlineStr">
        <is>
          <t>Not Run</t>
        </is>
      </c>
      <c r="N6" s="27" t="n"/>
      <c r="O6" s="27" t="n"/>
      <c r="P6" s="27" t="n"/>
      <c r="Q6" s="24" t="n"/>
    </row>
    <row r="7" ht="15" customHeight="1" s="18">
      <c r="A7" s="23" t="inlineStr">
        <is>
          <t>TC-AUTH-006</t>
        </is>
      </c>
      <c r="B7" s="24" t="inlineStr">
        <is>
          <t>UC-02</t>
        </is>
      </c>
      <c r="C7" s="24" t="inlineStr">
        <is>
          <t>FR-001</t>
        </is>
      </c>
      <c r="D7" s="24" t="inlineStr">
        <is>
          <t>Authentication</t>
        </is>
      </c>
      <c r="E7" s="24" t="inlineStr">
        <is>
          <t>Login with valid credentials</t>
        </is>
      </c>
      <c r="F7" s="24" t="inlineStr">
        <is>
          <t>Functional</t>
        </is>
      </c>
      <c r="G7" s="24" t="inlineStr">
        <is>
          <t>High</t>
        </is>
      </c>
      <c r="H7" s="24" t="inlineStr">
        <is>
          <t>Registered account</t>
        </is>
      </c>
      <c r="I7" s="24" t="inlineStr">
        <is>
          <t>1. Enter valid email + password. 2. Submit.</t>
        </is>
      </c>
      <c r="J7" s="24" t="inlineStr">
        <is>
          <t>Registered account</t>
        </is>
      </c>
      <c r="K7" s="24" t="inlineStr">
        <is>
          <t>Signed in; account menu + bell visible; redirected.</t>
        </is>
      </c>
      <c r="L7" s="24" t="inlineStr">
        <is>
          <t>New</t>
        </is>
      </c>
      <c r="M7" s="27" t="inlineStr">
        <is>
          <t>Not Run</t>
        </is>
      </c>
      <c r="N7" s="27" t="n"/>
      <c r="O7" s="27" t="n"/>
      <c r="P7" s="27" t="n"/>
      <c r="Q7" s="24" t="inlineStr">
        <is>
          <t>Mirrors acceptance criteria US-001.</t>
        </is>
      </c>
    </row>
    <row r="8" ht="22.35" customHeight="1" s="18">
      <c r="A8" s="23" t="inlineStr">
        <is>
          <t>TC-AUTH-007</t>
        </is>
      </c>
      <c r="B8" s="24" t="inlineStr">
        <is>
          <t>UC-02</t>
        </is>
      </c>
      <c r="C8" s="24" t="inlineStr">
        <is>
          <t>FR-016</t>
        </is>
      </c>
      <c r="D8" s="24" t="inlineStr">
        <is>
          <t>Authentication</t>
        </is>
      </c>
      <c r="E8" s="24" t="inlineStr">
        <is>
          <t>Suspended account login</t>
        </is>
      </c>
      <c r="F8" s="24" t="inlineStr">
        <is>
          <t>Negative</t>
        </is>
      </c>
      <c r="G8" s="24" t="inlineStr">
        <is>
          <t>High</t>
        </is>
      </c>
      <c r="H8" s="24" t="inlineStr">
        <is>
          <t>Account suspended by admin</t>
        </is>
      </c>
      <c r="I8" s="24" t="inlineStr">
        <is>
          <t>1. Log in as suspended user. 2. Try to create listing / book.</t>
        </is>
      </c>
      <c r="J8" s="24" t="inlineStr">
        <is>
          <t>Suspended test user</t>
        </is>
      </c>
      <c r="K8" s="24" t="inlineStr">
        <is>
          <t>Suspended-account screen/notice; protected actions blocked by UI and rules.</t>
        </is>
      </c>
      <c r="L8" s="24" t="inlineStr">
        <is>
          <t>New</t>
        </is>
      </c>
      <c r="M8" s="27" t="inlineStr">
        <is>
          <t>Not Run</t>
        </is>
      </c>
      <c r="N8" s="27" t="n"/>
      <c r="O8" s="27" t="n"/>
      <c r="P8" s="27" t="n"/>
      <c r="Q8" s="24" t="n"/>
    </row>
    <row r="9" ht="22.35" customHeight="1" s="18">
      <c r="A9" s="23" t="inlineStr">
        <is>
          <t>TC-AUTH-008</t>
        </is>
      </c>
      <c r="B9" s="24" t="inlineStr">
        <is>
          <t>UC-04</t>
        </is>
      </c>
      <c r="C9" s="24" t="inlineStr">
        <is>
          <t>FR-001</t>
        </is>
      </c>
      <c r="D9" s="24" t="inlineStr">
        <is>
          <t>Authentication</t>
        </is>
      </c>
      <c r="E9" s="24" t="inlineStr">
        <is>
          <t>Logout clears session</t>
        </is>
      </c>
      <c r="F9" s="24" t="inlineStr">
        <is>
          <t>Functional</t>
        </is>
      </c>
      <c r="G9" s="24" t="inlineStr">
        <is>
          <t>Medium</t>
        </is>
      </c>
      <c r="H9" s="24" t="inlineStr">
        <is>
          <t>Signed in</t>
        </is>
      </c>
      <c r="I9" s="24" t="inlineStr">
        <is>
          <t>1. Log out. 2. Press browser Back. 3. Open /notifications directly.</t>
        </is>
      </c>
      <c r="J9" s="24" t="inlineStr">
        <is>
          <t>Any user</t>
        </is>
      </c>
      <c r="K9" s="24" t="inlineStr">
        <is>
          <t>Session cleared; protected pages redirect to login.</t>
        </is>
      </c>
      <c r="L9" s="24" t="inlineStr">
        <is>
          <t>New</t>
        </is>
      </c>
      <c r="M9" s="27" t="inlineStr">
        <is>
          <t>Not Run</t>
        </is>
      </c>
      <c r="N9" s="27" t="n"/>
      <c r="O9" s="27" t="n"/>
      <c r="P9" s="27" t="n"/>
      <c r="Q9" s="24" t="n"/>
    </row>
    <row r="10" ht="15" customHeight="1" s="18">
      <c r="A10" s="23" t="inlineStr">
        <is>
          <t>TC-AUTH-009</t>
        </is>
      </c>
      <c r="B10" s="24" t="inlineStr">
        <is>
          <t>UC-03</t>
        </is>
      </c>
      <c r="C10" s="24" t="inlineStr">
        <is>
          <t>FR-001</t>
        </is>
      </c>
      <c r="D10" s="24" t="inlineStr">
        <is>
          <t>Authentication</t>
        </is>
      </c>
      <c r="E10" s="24" t="inlineStr">
        <is>
          <t>Cancel Google popup</t>
        </is>
      </c>
      <c r="F10" s="24" t="inlineStr">
        <is>
          <t>Negative</t>
        </is>
      </c>
      <c r="G10" s="24" t="inlineStr">
        <is>
          <t>Low</t>
        </is>
      </c>
      <c r="H10" s="24" t="inlineStr">
        <is>
          <t>Signed out</t>
        </is>
      </c>
      <c r="I10" s="24" t="inlineStr">
        <is>
          <t>1. Click Continue with Google. 2. Close popup.</t>
        </is>
      </c>
      <c r="J10" s="24" t="inlineStr">
        <is>
          <t>-</t>
        </is>
      </c>
      <c r="K10" s="24" t="inlineStr">
        <is>
          <t>Stays on login with no crash or infinite spinner.</t>
        </is>
      </c>
      <c r="L10" s="24" t="inlineStr">
        <is>
          <t>New</t>
        </is>
      </c>
      <c r="M10" s="27" t="inlineStr">
        <is>
          <t>Not Run</t>
        </is>
      </c>
      <c r="N10" s="27" t="n"/>
      <c r="O10" s="27" t="n"/>
      <c r="P10" s="27" t="n"/>
      <c r="Q10" s="24" t="n"/>
    </row>
    <row r="11" ht="22.35" customHeight="1" s="18">
      <c r="A11" s="23" t="inlineStr">
        <is>
          <t>TC-AUTH-010</t>
        </is>
      </c>
      <c r="B11" s="24" t="inlineStr">
        <is>
          <t>UC-05</t>
        </is>
      </c>
      <c r="C11" s="24" t="inlineStr">
        <is>
          <t>FR-001</t>
        </is>
      </c>
      <c r="D11" s="24" t="inlineStr">
        <is>
          <t>Authentication</t>
        </is>
      </c>
      <c r="E11" s="24" t="inlineStr">
        <is>
          <t>User cannot escalate own role/status</t>
        </is>
      </c>
      <c r="F11" s="24" t="inlineStr">
        <is>
          <t>Security</t>
        </is>
      </c>
      <c r="G11" s="24" t="inlineStr">
        <is>
          <t>High</t>
        </is>
      </c>
      <c r="H11" s="24" t="inlineStr">
        <is>
          <t>Signed in as regular user</t>
        </is>
      </c>
      <c r="I11" s="24" t="inlineStr">
        <is>
          <t>1. Via SDK/console, update own users doc role='admin' or status='active' while suspended.</t>
        </is>
      </c>
      <c r="J11" s="24" t="inlineStr">
        <is>
          <t>Regular user</t>
        </is>
      </c>
      <c r="K11" s="24" t="inlineStr">
        <is>
          <t>Write denied by Firestore rules.</t>
        </is>
      </c>
      <c r="L11" s="24" t="inlineStr">
        <is>
          <t>New</t>
        </is>
      </c>
      <c r="M11" s="27" t="inlineStr">
        <is>
          <t>Not Run</t>
        </is>
      </c>
      <c r="N11" s="27" t="n"/>
      <c r="O11" s="27" t="n"/>
      <c r="P11" s="27" t="n"/>
      <c r="Q11" s="24" t="inlineStr">
        <is>
          <t>Unblocked 2026-10-01: rules deployed to trusthome-ph (commit a1fe48e). Run on the live test project.</t>
        </is>
      </c>
    </row>
    <row r="12" ht="22.35" customHeight="1" s="18">
      <c r="A12" s="23" t="inlineStr">
        <is>
          <t>TC-LIST-001</t>
        </is>
      </c>
      <c r="B12" s="24" t="inlineStr">
        <is>
          <t>UC-06</t>
        </is>
      </c>
      <c r="C12" s="24" t="inlineStr">
        <is>
          <t>FR-002</t>
        </is>
      </c>
      <c r="D12" s="24" t="inlineStr">
        <is>
          <t>Listing Intake</t>
        </is>
      </c>
      <c r="E12" s="24" t="inlineStr">
        <is>
          <t>Submit a complete valid listing</t>
        </is>
      </c>
      <c r="F12" s="24" t="inlineStr">
        <is>
          <t>Functional</t>
        </is>
      </c>
      <c r="G12" s="24" t="inlineStr">
        <is>
          <t>High</t>
        </is>
      </c>
      <c r="H12" s="24" t="inlineStr">
        <is>
          <t>Signed in</t>
        </is>
      </c>
      <c r="I12" s="24" t="inlineStr">
        <is>
          <t>1. Complete Create Listing. 2. Upload &gt;=4 photos + both documents. 3. Add showing window. 4. Submit.</t>
        </is>
      </c>
      <c r="J12" s="24" t="inlineStr">
        <is>
          <t>Valid listing data</t>
        </is>
      </c>
      <c r="K12" s="24" t="inlineStr">
        <is>
          <t>Listing saved as pending; not in public search; appears in admin queue.</t>
        </is>
      </c>
      <c r="L12" s="24" t="inlineStr">
        <is>
          <t>Existing (QA doc)</t>
        </is>
      </c>
      <c r="M12" s="27" t="inlineStr">
        <is>
          <t>Passed (Dev)</t>
        </is>
      </c>
      <c r="N12" s="27" t="n"/>
      <c r="O12" s="27" t="n"/>
      <c r="P12" s="27" t="n"/>
      <c r="Q12" s="24" t="inlineStr">
        <is>
          <t>Intake rules extended in v1.1.</t>
        </is>
      </c>
    </row>
    <row r="13" ht="43.25" customHeight="1" s="18">
      <c r="A13" s="23" t="inlineStr">
        <is>
          <t>TC-INTAKE-001</t>
        </is>
      </c>
      <c r="B13" s="24" t="inlineStr">
        <is>
          <t>UC-06</t>
        </is>
      </c>
      <c r="C13" s="24" t="inlineStr">
        <is>
          <t>FR-002</t>
        </is>
      </c>
      <c r="D13" s="24" t="inlineStr">
        <is>
          <t>Listing Intake</t>
        </is>
      </c>
      <c r="E13" s="24" t="inlineStr">
        <is>
          <t>Description length rules (updated)</t>
        </is>
      </c>
      <c r="F13" s="24" t="inlineStr">
        <is>
          <t>Negative/Boundary</t>
        </is>
      </c>
      <c r="G13" s="24" t="inlineStr">
        <is>
          <t>High</t>
        </is>
      </c>
      <c r="H13" s="24" t="inlineStr">
        <is>
          <t>Otherwise valid listing</t>
        </is>
      </c>
      <c r="I13" s="24" t="inlineStr">
        <is>
          <t>1. Submit with empty/whitespace description. 2. Submit with 120 words. 3. Submit with 410 words.</t>
        </is>
      </c>
      <c r="J13" s="24" t="inlineStr">
        <is>
          <t>Descriptions: blank, 120 words, 410 words</t>
        </is>
      </c>
      <c r="K13" s="24" t="inlineStr">
        <is>
          <t>Blank -&gt; blocked. 120 words -&gt; ACCEPTED (150 is a recommendation hint only). 410 words -&gt; blocked with inline guidance.</t>
        </is>
      </c>
      <c r="L13" s="24" t="inlineStr">
        <is>
          <t>Updated</t>
        </is>
      </c>
      <c r="M13" s="27" t="inlineStr">
        <is>
          <t>Not Run</t>
        </is>
      </c>
      <c r="N13" s="27" t="n"/>
      <c r="O13" s="27" t="n"/>
      <c r="P13" s="27" t="n"/>
      <c r="Q13" s="24" t="inlineStr">
        <is>
          <t>Expected result changed by P1 description fix (was: 120 words blocked). Update QA doc Table 4 &amp; FR-002.</t>
        </is>
      </c>
    </row>
    <row r="14" ht="22.35" customHeight="1" s="18">
      <c r="A14" s="23" t="inlineStr">
        <is>
          <t>TC-INTAKE-001B</t>
        </is>
      </c>
      <c r="B14" s="24" t="inlineStr">
        <is>
          <t>UC-06</t>
        </is>
      </c>
      <c r="C14" s="24" t="inlineStr">
        <is>
          <t>FR-002</t>
        </is>
      </c>
      <c r="D14" s="24" t="inlineStr">
        <is>
          <t>Listing Intake</t>
        </is>
      </c>
      <c r="E14" s="24" t="inlineStr">
        <is>
          <t>Description boundaries 1 / 400 / 401 words</t>
        </is>
      </c>
      <c r="F14" s="24" t="inlineStr">
        <is>
          <t>Boundary</t>
        </is>
      </c>
      <c r="G14" s="24" t="inlineStr">
        <is>
          <t>Medium</t>
        </is>
      </c>
      <c r="H14" s="24" t="inlineStr">
        <is>
          <t>Otherwise valid listing</t>
        </is>
      </c>
      <c r="I14" s="24" t="inlineStr">
        <is>
          <t>1. Submit 1-word, 400-word, 401-word descriptions.</t>
        </is>
      </c>
      <c r="J14" s="24" t="inlineStr">
        <is>
          <t>Generated text</t>
        </is>
      </c>
      <c r="K14" s="24" t="inlineStr">
        <is>
          <t>1 and 400 accepted; 401 blocked.</t>
        </is>
      </c>
      <c r="L14" s="24" t="inlineStr">
        <is>
          <t>New</t>
        </is>
      </c>
      <c r="M14" s="27" t="inlineStr">
        <is>
          <t>Not Run</t>
        </is>
      </c>
      <c r="N14" s="27" t="n"/>
      <c r="O14" s="27" t="n"/>
      <c r="P14" s="27" t="n"/>
      <c r="Q14" s="24" t="n"/>
    </row>
    <row r="15" ht="15" customHeight="1" s="18">
      <c r="A15" s="23" t="inlineStr">
        <is>
          <t>TC-INTAKE-002</t>
        </is>
      </c>
      <c r="B15" s="24" t="inlineStr">
        <is>
          <t>UC-06</t>
        </is>
      </c>
      <c r="C15" s="24" t="inlineStr">
        <is>
          <t>FR-002</t>
        </is>
      </c>
      <c r="D15" s="24" t="inlineStr">
        <is>
          <t>Listing Intake</t>
        </is>
      </c>
      <c r="E15" s="24" t="inlineStr">
        <is>
          <t>Fewer than 4 photos</t>
        </is>
      </c>
      <c r="F15" s="24" t="inlineStr">
        <is>
          <t>Negative</t>
        </is>
      </c>
      <c r="G15" s="24" t="inlineStr">
        <is>
          <t>High</t>
        </is>
      </c>
      <c r="H15" s="24" t="inlineStr">
        <is>
          <t>Otherwise valid listing</t>
        </is>
      </c>
      <c r="I15" s="24" t="inlineStr">
        <is>
          <t>1. Upload 3 photos. 2. Submit.</t>
        </is>
      </c>
      <c r="J15" s="24" t="inlineStr">
        <is>
          <t>3 images</t>
        </is>
      </c>
      <c r="K15" s="24" t="inlineStr">
        <is>
          <t>Blocked: minimum 4 photos.</t>
        </is>
      </c>
      <c r="L15" s="24" t="inlineStr">
        <is>
          <t>Existing (QA doc)</t>
        </is>
      </c>
      <c r="M15" s="27" t="inlineStr">
        <is>
          <t>Passed (Dev)</t>
        </is>
      </c>
      <c r="N15" s="27" t="n"/>
      <c r="O15" s="27" t="n"/>
      <c r="P15" s="27" t="n"/>
      <c r="Q15" s="24" t="inlineStr">
        <is>
          <t>Unit test.</t>
        </is>
      </c>
    </row>
    <row r="16" ht="22.35" customHeight="1" s="18">
      <c r="A16" s="23" t="inlineStr">
        <is>
          <t>TC-INTAKE-003</t>
        </is>
      </c>
      <c r="B16" s="24" t="inlineStr">
        <is>
          <t>UC-06</t>
        </is>
      </c>
      <c r="C16" s="24" t="inlineStr">
        <is>
          <t>FR-003</t>
        </is>
      </c>
      <c r="D16" s="24" t="inlineStr">
        <is>
          <t>Listing Intake</t>
        </is>
      </c>
      <c r="E16" s="24" t="inlineStr">
        <is>
          <t>Missing government ID or ownership document</t>
        </is>
      </c>
      <c r="F16" s="24" t="inlineStr">
        <is>
          <t>Negative</t>
        </is>
      </c>
      <c r="G16" s="24" t="inlineStr">
        <is>
          <t>High</t>
        </is>
      </c>
      <c r="H16" s="24" t="inlineStr">
        <is>
          <t>Otherwise valid listing</t>
        </is>
      </c>
      <c r="I16" s="24" t="inlineStr">
        <is>
          <t>1. Upload only ownership doc; submit. 2. Upload only gov ID; submit.</t>
        </is>
      </c>
      <c r="J16" s="24" t="inlineStr">
        <is>
          <t>One document each</t>
        </is>
      </c>
      <c r="K16" s="24" t="inlineStr">
        <is>
          <t>Both blocked until both documents are uploaded.</t>
        </is>
      </c>
      <c r="L16" s="24" t="inlineStr">
        <is>
          <t>Existing (QA doc)</t>
        </is>
      </c>
      <c r="M16" s="27" t="inlineStr">
        <is>
          <t>Passed (Dev)</t>
        </is>
      </c>
      <c r="N16" s="27" t="n"/>
      <c r="O16" s="27" t="n"/>
      <c r="P16" s="27" t="n"/>
      <c r="Q16" s="24" t="n"/>
    </row>
    <row r="17" ht="15" customHeight="1" s="18">
      <c r="A17" s="23" t="inlineStr">
        <is>
          <t>TC-INTAKE-004</t>
        </is>
      </c>
      <c r="B17" s="24" t="inlineStr">
        <is>
          <t>UC-06</t>
        </is>
      </c>
      <c r="C17" s="24" t="inlineStr">
        <is>
          <t>FR-002</t>
        </is>
      </c>
      <c r="D17" s="24" t="inlineStr">
        <is>
          <t>Listing Intake</t>
        </is>
      </c>
      <c r="E17" s="24" t="inlineStr">
        <is>
          <t>Invalid or missing showing window</t>
        </is>
      </c>
      <c r="F17" s="24" t="inlineStr">
        <is>
          <t>Negative</t>
        </is>
      </c>
      <c r="G17" s="24" t="inlineStr">
        <is>
          <t>High</t>
        </is>
      </c>
      <c r="H17" s="24" t="inlineStr">
        <is>
          <t>Otherwise valid listing</t>
        </is>
      </c>
      <c r="I17" s="24" t="inlineStr">
        <is>
          <t>1. Remove all windows. 2. Enter end time before start time.</t>
        </is>
      </c>
      <c r="J17" s="24" t="inlineStr">
        <is>
          <t>Window 14:00–10:00</t>
        </is>
      </c>
      <c r="K17" s="24" t="inlineStr">
        <is>
          <t>Blocked: at least one valid window required.</t>
        </is>
      </c>
      <c r="L17" s="24" t="inlineStr">
        <is>
          <t>Existing (QA doc)</t>
        </is>
      </c>
      <c r="M17" s="27" t="inlineStr">
        <is>
          <t>Passed (Dev)</t>
        </is>
      </c>
      <c r="N17" s="27" t="n"/>
      <c r="O17" s="27" t="n"/>
      <c r="P17" s="27" t="n"/>
      <c r="Q17" s="24" t="n"/>
    </row>
    <row r="18" ht="22.35" customHeight="1" s="18">
      <c r="A18" s="23" t="inlineStr">
        <is>
          <t>TC-INTAKE-005</t>
        </is>
      </c>
      <c r="B18" s="24" t="inlineStr">
        <is>
          <t>UC-07</t>
        </is>
      </c>
      <c r="C18" s="24" t="inlineStr">
        <is>
          <t>FR-003</t>
        </is>
      </c>
      <c r="D18" s="24" t="inlineStr">
        <is>
          <t>Listing Intake</t>
        </is>
      </c>
      <c r="E18" s="24" t="inlineStr">
        <is>
          <t>Request changes then resubmit</t>
        </is>
      </c>
      <c r="F18" s="24" t="inlineStr">
        <is>
          <t>Functional</t>
        </is>
      </c>
      <c r="G18" s="24" t="inlineStr">
        <is>
          <t>High</t>
        </is>
      </c>
      <c r="H18" s="24" t="inlineStr">
        <is>
          <t>Pending listing</t>
        </is>
      </c>
      <c r="I18" s="24" t="inlineStr">
        <is>
          <t>1. Admin selects Request changes with note. 2. Owner opens My Listings, sees note. 3. Edits and resubmits.</t>
        </is>
      </c>
      <c r="J18" s="24" t="inlineStr">
        <is>
          <t>Pending listing</t>
        </is>
      </c>
      <c r="K18" s="24" t="inlineStr">
        <is>
          <t>Owner sees changes-requested + note; resubmission returns listing to pending.</t>
        </is>
      </c>
      <c r="L18" s="24" t="inlineStr">
        <is>
          <t>Existing (QA doc)</t>
        </is>
      </c>
      <c r="M18" s="27" t="inlineStr">
        <is>
          <t>Passed (Dev)</t>
        </is>
      </c>
      <c r="N18" s="27" t="n"/>
      <c r="O18" s="27" t="n"/>
      <c r="P18" s="27" t="n"/>
      <c r="Q18" s="24" t="n"/>
    </row>
    <row r="19" ht="22.35" customHeight="1" s="18">
      <c r="A19" s="23" t="inlineStr">
        <is>
          <t>TC-INTAKE-006</t>
        </is>
      </c>
      <c r="B19" s="24" t="inlineStr">
        <is>
          <t>UC-07</t>
        </is>
      </c>
      <c r="C19" s="24" t="inlineStr">
        <is>
          <t>FR-002</t>
        </is>
      </c>
      <c r="D19" s="24" t="inlineStr">
        <is>
          <t>Listing Intake</t>
        </is>
      </c>
      <c r="E19" s="24" t="inlineStr">
        <is>
          <t>Edit parity with creation rules</t>
        </is>
      </c>
      <c r="F19" s="24" t="inlineStr">
        <is>
          <t>Negative</t>
        </is>
      </c>
      <c r="G19" s="24" t="inlineStr">
        <is>
          <t>High</t>
        </is>
      </c>
      <c r="H19" s="24" t="inlineStr">
        <is>
          <t>Existing listing</t>
        </is>
      </c>
      <c r="I19" s="24" t="inlineStr">
        <is>
          <t>1. Edit listing; reduce to 2 photos / blank description. 2. Save.</t>
        </is>
      </c>
      <c r="J19" s="24" t="inlineStr">
        <is>
          <t>Existing listing</t>
        </is>
      </c>
      <c r="K19" s="24" t="inlineStr">
        <is>
          <t>Same validation errors as creation; not saved.</t>
        </is>
      </c>
      <c r="L19" s="24" t="inlineStr">
        <is>
          <t>Existing (QA doc)</t>
        </is>
      </c>
      <c r="M19" s="27" t="inlineStr">
        <is>
          <t>Passed (Dev)</t>
        </is>
      </c>
      <c r="N19" s="27" t="n"/>
      <c r="O19" s="27" t="n"/>
      <c r="P19" s="27" t="n"/>
      <c r="Q19" s="24" t="n"/>
    </row>
    <row r="20" ht="32.8" customHeight="1" s="18">
      <c r="A20" s="23" t="inlineStr">
        <is>
          <t>TC-INTAKE-007</t>
        </is>
      </c>
      <c r="B20" s="24" t="inlineStr">
        <is>
          <t>UC-06</t>
        </is>
      </c>
      <c r="C20" s="24" t="inlineStr">
        <is>
          <t>FR-002</t>
        </is>
      </c>
      <c r="D20" s="24" t="inlineStr">
        <is>
          <t>Listing Intake</t>
        </is>
      </c>
      <c r="E20" s="24" t="inlineStr">
        <is>
          <t>Each required field missing</t>
        </is>
      </c>
      <c r="F20" s="24" t="inlineStr">
        <is>
          <t>Negative</t>
        </is>
      </c>
      <c r="G20" s="24" t="inlineStr">
        <is>
          <t>High</t>
        </is>
      </c>
      <c r="H20" s="24" t="inlineStr">
        <is>
          <t>Create Listing form</t>
        </is>
      </c>
      <c r="I20" s="24" t="inlineStr">
        <is>
          <t>1. For each of type, address/area, city, bedrooms, bathrooms, size, rent, availability date, amenities: leave blank and submit.</t>
        </is>
      </c>
      <c r="J20" s="24" t="inlineStr">
        <is>
          <t>Otherwise valid listing</t>
        </is>
      </c>
      <c r="K20" s="24" t="inlineStr">
        <is>
          <t>Field-level inline error under the missing field; no listing doc created.</t>
        </is>
      </c>
      <c r="L20" s="24" t="inlineStr">
        <is>
          <t>New</t>
        </is>
      </c>
      <c r="M20" s="27" t="inlineStr">
        <is>
          <t>Not Run</t>
        </is>
      </c>
      <c r="N20" s="27" t="n"/>
      <c r="O20" s="27" t="n"/>
      <c r="P20" s="27" t="n"/>
      <c r="Q20" s="24" t="inlineStr">
        <is>
          <t>Data-driven: 9 iterations.</t>
        </is>
      </c>
    </row>
    <row r="21" ht="22.35" customHeight="1" s="18">
      <c r="A21" s="23" t="inlineStr">
        <is>
          <t>TC-INTAKE-008</t>
        </is>
      </c>
      <c r="B21" s="24" t="inlineStr">
        <is>
          <t>UC-06</t>
        </is>
      </c>
      <c r="C21" s="24" t="inlineStr">
        <is>
          <t>FR-002</t>
        </is>
      </c>
      <c r="D21" s="24" t="inlineStr">
        <is>
          <t>Listing Intake</t>
        </is>
      </c>
      <c r="E21" s="24" t="inlineStr">
        <is>
          <t>Numeric field validation</t>
        </is>
      </c>
      <c r="F21" s="24" t="inlineStr">
        <is>
          <t>Negative/Boundary</t>
        </is>
      </c>
      <c r="G21" s="24" t="inlineStr">
        <is>
          <t>Medium</t>
        </is>
      </c>
      <c r="H21" s="24" t="inlineStr">
        <is>
          <t>Create Listing form</t>
        </is>
      </c>
      <c r="I21" s="24" t="inlineStr">
        <is>
          <t>1. Enter 0 / negative / non-numeric for rent, size, bedrooms, bathrooms.</t>
        </is>
      </c>
      <c r="J21" s="24" t="inlineStr">
        <is>
          <t>-1, 0, 'abc'</t>
        </is>
      </c>
      <c r="K21" s="24" t="inlineStr">
        <is>
          <t>Rejected with inline error.</t>
        </is>
      </c>
      <c r="L21" s="24" t="inlineStr">
        <is>
          <t>New</t>
        </is>
      </c>
      <c r="M21" s="27" t="inlineStr">
        <is>
          <t>Not Run</t>
        </is>
      </c>
      <c r="N21" s="27" t="n"/>
      <c r="O21" s="27" t="n"/>
      <c r="P21" s="27" t="n"/>
      <c r="Q21" s="24" t="n"/>
    </row>
    <row r="22" ht="15" customHeight="1" s="18">
      <c r="A22" s="23" t="inlineStr">
        <is>
          <t>TC-INTAKE-009</t>
        </is>
      </c>
      <c r="B22" s="24" t="inlineStr">
        <is>
          <t>UC-06</t>
        </is>
      </c>
      <c r="C22" s="24" t="inlineStr">
        <is>
          <t>FR-002</t>
        </is>
      </c>
      <c r="D22" s="24" t="inlineStr">
        <is>
          <t>Listing Intake</t>
        </is>
      </c>
      <c r="E22" s="24" t="inlineStr">
        <is>
          <t>Non-image or oversized photo upload</t>
        </is>
      </c>
      <c r="F22" s="24" t="inlineStr">
        <is>
          <t>Negative</t>
        </is>
      </c>
      <c r="G22" s="24" t="inlineStr">
        <is>
          <t>Medium</t>
        </is>
      </c>
      <c r="H22" s="24" t="inlineStr">
        <is>
          <t>Create Listing form</t>
        </is>
      </c>
      <c r="I22" s="24" t="inlineStr">
        <is>
          <t>1. Upload a .exe/.txt as photo. 2. Upload very large image.</t>
        </is>
      </c>
      <c r="J22" s="24" t="inlineStr">
        <is>
          <t>Invalid files</t>
        </is>
      </c>
      <c r="K22" s="24" t="inlineStr">
        <is>
          <t>Rejected with clear message; no broken URL saved.</t>
        </is>
      </c>
      <c r="L22" s="24" t="inlineStr">
        <is>
          <t>New</t>
        </is>
      </c>
      <c r="M22" s="27" t="inlineStr">
        <is>
          <t>Not Run</t>
        </is>
      </c>
      <c r="N22" s="27" t="n"/>
      <c r="O22" s="27" t="n"/>
      <c r="P22" s="27" t="n"/>
      <c r="Q22" s="24" t="n"/>
    </row>
    <row r="23" ht="22.35" customHeight="1" s="18">
      <c r="A23" s="23" t="inlineStr">
        <is>
          <t>TC-INTAKE-010</t>
        </is>
      </c>
      <c r="B23" s="24" t="inlineStr">
        <is>
          <t>UC-06</t>
        </is>
      </c>
      <c r="C23" s="24" t="inlineStr">
        <is>
          <t>FR-003</t>
        </is>
      </c>
      <c r="D23" s="24" t="inlineStr">
        <is>
          <t>Listing Intake</t>
        </is>
      </c>
      <c r="E23" s="24" t="inlineStr">
        <is>
          <t>Upload failure feedback</t>
        </is>
      </c>
      <c r="F23" s="24" t="inlineStr">
        <is>
          <t>Negative</t>
        </is>
      </c>
      <c r="G23" s="24" t="inlineStr">
        <is>
          <t>Medium</t>
        </is>
      </c>
      <c r="H23" s="24" t="inlineStr">
        <is>
          <t>Create Listing form</t>
        </is>
      </c>
      <c r="I23" s="24" t="inlineStr">
        <is>
          <t>1. Go offline during photo/document upload.</t>
        </is>
      </c>
      <c r="J23" s="24" t="inlineStr">
        <is>
          <t>DevTools offline</t>
        </is>
      </c>
      <c r="K23" s="24" t="inlineStr">
        <is>
          <t>Error shown with retry; submit stays blocked until upload succeeds.</t>
        </is>
      </c>
      <c r="L23" s="24" t="inlineStr">
        <is>
          <t>New</t>
        </is>
      </c>
      <c r="M23" s="27" t="inlineStr">
        <is>
          <t>Not Run</t>
        </is>
      </c>
      <c r="N23" s="27" t="n"/>
      <c r="O23" s="27" t="n"/>
      <c r="P23" s="27" t="n"/>
      <c r="Q23" s="24" t="inlineStr">
        <is>
          <t>Design Guide B8 feedback rule.</t>
        </is>
      </c>
    </row>
    <row r="24" ht="22.35" customHeight="1" s="18">
      <c r="A24" s="23" t="inlineStr">
        <is>
          <t>TC-INTAKE-011</t>
        </is>
      </c>
      <c r="B24" s="24" t="inlineStr">
        <is>
          <t>UC-06</t>
        </is>
      </c>
      <c r="C24" s="24" t="inlineStr">
        <is>
          <t>FR-002</t>
        </is>
      </c>
      <c r="D24" s="24" t="inlineStr">
        <is>
          <t>Listing Intake</t>
        </is>
      </c>
      <c r="E24" s="24" t="inlineStr">
        <is>
          <t>Multi-step form progress indicator</t>
        </is>
      </c>
      <c r="F24" s="24" t="inlineStr">
        <is>
          <t>UI</t>
        </is>
      </c>
      <c r="G24" s="24" t="inlineStr">
        <is>
          <t>Low</t>
        </is>
      </c>
      <c r="H24" s="24" t="inlineStr">
        <is>
          <t>Create Listing form</t>
        </is>
      </c>
      <c r="I24" s="24" t="inlineStr">
        <is>
          <t>1. Walk through details -&gt; photos -&gt; documents steps.</t>
        </is>
      </c>
      <c r="J24" s="24" t="inlineStr">
        <is>
          <t>-</t>
        </is>
      </c>
      <c r="K24" s="24" t="inlineStr">
        <is>
          <t>Progress indicator shown; data kept when moving back/forward.</t>
        </is>
      </c>
      <c r="L24" s="24" t="inlineStr">
        <is>
          <t>New</t>
        </is>
      </c>
      <c r="M24" s="27" t="inlineStr">
        <is>
          <t>Not Run</t>
        </is>
      </c>
      <c r="N24" s="27" t="n"/>
      <c r="O24" s="27" t="n"/>
      <c r="P24" s="27" t="n"/>
      <c r="Q24" s="24" t="inlineStr">
        <is>
          <t>Design Guide B8.</t>
        </is>
      </c>
    </row>
    <row r="25" ht="22.35" customHeight="1" s="18">
      <c r="A25" s="23" t="inlineStr">
        <is>
          <t>TC-INTAKE-012</t>
        </is>
      </c>
      <c r="B25" s="24" t="inlineStr">
        <is>
          <t>UC-06</t>
        </is>
      </c>
      <c r="C25" s="24" t="inlineStr">
        <is>
          <t>FR-003</t>
        </is>
      </c>
      <c r="D25" s="24" t="inlineStr">
        <is>
          <t>Listing Intake</t>
        </is>
      </c>
      <c r="E25" s="24" t="inlineStr">
        <is>
          <t>Limitation copy shown</t>
        </is>
      </c>
      <c r="F25" s="24" t="inlineStr">
        <is>
          <t>UI</t>
        </is>
      </c>
      <c r="G25" s="24" t="inlineStr">
        <is>
          <t>Medium</t>
        </is>
      </c>
      <c r="H25" s="24" t="inlineStr">
        <is>
          <t>Create Listing / Listing Detail</t>
        </is>
      </c>
      <c r="I25" s="24" t="inlineStr">
        <is>
          <t>1. Read verification copy.</t>
        </is>
      </c>
      <c r="J25" s="24" t="inlineStr">
        <is>
          <t>-</t>
        </is>
      </c>
      <c r="K25" s="24" t="inlineStr">
        <is>
          <t>UI states review is a document-plausibility check, not a legal title search.</t>
        </is>
      </c>
      <c r="L25" s="24" t="inlineStr">
        <is>
          <t>New</t>
        </is>
      </c>
      <c r="M25" s="27" t="inlineStr">
        <is>
          <t>Not Run</t>
        </is>
      </c>
      <c r="N25" s="27" t="n"/>
      <c r="O25" s="27" t="n"/>
      <c r="P25" s="27" t="n"/>
      <c r="Q25" s="24" t="inlineStr">
        <is>
          <t>Build Instructions §7.</t>
        </is>
      </c>
    </row>
    <row r="26" ht="15" customHeight="1" s="18">
      <c r="A26" s="23" t="inlineStr">
        <is>
          <t>TC-INTAKE-013</t>
        </is>
      </c>
      <c r="B26" s="24" t="inlineStr">
        <is>
          <t>UC-07</t>
        </is>
      </c>
      <c r="C26" s="24" t="inlineStr">
        <is>
          <t>FR-002</t>
        </is>
      </c>
      <c r="D26" s="24" t="inlineStr">
        <is>
          <t>Listing Intake</t>
        </is>
      </c>
      <c r="E26" s="24" t="inlineStr">
        <is>
          <t>Non-owner cannot edit listing</t>
        </is>
      </c>
      <c r="F26" s="24" t="inlineStr">
        <is>
          <t>Security</t>
        </is>
      </c>
      <c r="G26" s="24" t="inlineStr">
        <is>
          <t>High</t>
        </is>
      </c>
      <c r="H26" s="24" t="inlineStr">
        <is>
          <t>Listing owned by user A</t>
        </is>
      </c>
      <c r="I26" s="24" t="inlineStr">
        <is>
          <t>1. As user B open /listings/{id}/edit. 2. Attempt direct update.</t>
        </is>
      </c>
      <c r="J26" s="24" t="inlineStr">
        <is>
          <t>Two users</t>
        </is>
      </c>
      <c r="K26" s="24" t="inlineStr">
        <is>
          <t>UI denies; Firestore update denied.</t>
        </is>
      </c>
      <c r="L26" s="24" t="inlineStr">
        <is>
          <t>New</t>
        </is>
      </c>
      <c r="M26" s="27" t="inlineStr">
        <is>
          <t>Not Run</t>
        </is>
      </c>
      <c r="N26" s="27" t="n"/>
      <c r="O26" s="27" t="n"/>
      <c r="P26" s="27" t="n"/>
      <c r="Q26" s="24" t="inlineStr">
        <is>
          <t>Unblocked 2026-10-01: rules deployed to trusthome-ph (commit a1fe48e). Run on the live test project.</t>
        </is>
      </c>
    </row>
    <row r="27" ht="22.35" customHeight="1" s="18">
      <c r="A27" s="23" t="inlineStr">
        <is>
          <t>TC-VER-001</t>
        </is>
      </c>
      <c r="B27" s="24" t="inlineStr">
        <is>
          <t>UC-10</t>
        </is>
      </c>
      <c r="C27" s="24" t="inlineStr">
        <is>
          <t>FR-003</t>
        </is>
      </c>
      <c r="D27" s="24" t="inlineStr">
        <is>
          <t>Admin Listing Review</t>
        </is>
      </c>
      <c r="E27" s="24" t="inlineStr">
        <is>
          <t>Approve a pending listing</t>
        </is>
      </c>
      <c r="F27" s="24" t="inlineStr">
        <is>
          <t>Functional</t>
        </is>
      </c>
      <c r="G27" s="24" t="inlineStr">
        <is>
          <t>High</t>
        </is>
      </c>
      <c r="H27" s="24" t="inlineStr">
        <is>
          <t>Admin; pending listing</t>
        </is>
      </c>
      <c r="I27" s="24" t="inlineStr">
        <is>
          <t>1. Open Listing Review Queue. 2. Approve.</t>
        </is>
      </c>
      <c r="J27" s="24" t="inlineStr">
        <is>
          <t>Seeded pending listing</t>
        </is>
      </c>
      <c r="K27" s="24" t="inlineStr">
        <is>
          <t>verified + verifiedAt; appears in search with 'Verified – document reviewed' badge; owner notified.</t>
        </is>
      </c>
      <c r="L27" s="24" t="inlineStr">
        <is>
          <t>Existing (QA doc)</t>
        </is>
      </c>
      <c r="M27" s="27" t="inlineStr">
        <is>
          <t>Passed (Dev)</t>
        </is>
      </c>
      <c r="N27" s="27" t="n"/>
      <c r="O27" s="27" t="n"/>
      <c r="P27" s="27" t="n"/>
      <c r="Q27" s="24" t="inlineStr">
        <is>
          <t>Photo/PDF rendering fixed (BUG-002).</t>
        </is>
      </c>
    </row>
    <row r="28" ht="15" customHeight="1" s="18">
      <c r="A28" s="23" t="inlineStr">
        <is>
          <t>TC-VER-002</t>
        </is>
      </c>
      <c r="B28" s="24" t="inlineStr">
        <is>
          <t>UC-41</t>
        </is>
      </c>
      <c r="C28" s="24" t="inlineStr">
        <is>
          <t>FR-003</t>
        </is>
      </c>
      <c r="D28" s="24" t="inlineStr">
        <is>
          <t>Admin Listing Review</t>
        </is>
      </c>
      <c r="E28" s="24" t="inlineStr">
        <is>
          <t>Signed-out read of pending listing</t>
        </is>
      </c>
      <c r="F28" s="24" t="inlineStr">
        <is>
          <t>Security</t>
        </is>
      </c>
      <c r="G28" s="24" t="inlineStr">
        <is>
          <t>High</t>
        </is>
      </c>
      <c r="H28" s="24" t="inlineStr">
        <is>
          <t>Pending listing</t>
        </is>
      </c>
      <c r="I28" s="24" t="inlineStr">
        <is>
          <t>1. Sign out. 2. Read pending listing by ID.</t>
        </is>
      </c>
      <c r="J28" s="24" t="inlineStr">
        <is>
          <t>Pending listing ID</t>
        </is>
      </c>
      <c r="K28" s="24" t="inlineStr">
        <is>
          <t>Read denied.</t>
        </is>
      </c>
      <c r="L28" s="24" t="inlineStr">
        <is>
          <t>Existing (QA doc)</t>
        </is>
      </c>
      <c r="M28" s="27" t="inlineStr">
        <is>
          <t>Not Run</t>
        </is>
      </c>
      <c r="N28" s="27" t="n"/>
      <c r="O28" s="27" t="n"/>
      <c r="P28" s="27" t="n"/>
      <c r="Q28" s="24" t="inlineStr">
        <is>
          <t>Unblocked 2026-10-01: rules deployed to trusthome-ph (commit a1fe48e). Run on the live test project.</t>
        </is>
      </c>
    </row>
    <row r="29" ht="22.35" customHeight="1" s="18">
      <c r="A29" s="23" t="inlineStr">
        <is>
          <t>TC-VER-003</t>
        </is>
      </c>
      <c r="B29" s="24" t="inlineStr">
        <is>
          <t>UC-10</t>
        </is>
      </c>
      <c r="C29" s="24" t="inlineStr">
        <is>
          <t>FR-003</t>
        </is>
      </c>
      <c r="D29" s="24" t="inlineStr">
        <is>
          <t>Admin Listing Review</t>
        </is>
      </c>
      <c r="E29" s="24" t="inlineStr">
        <is>
          <t>Reject a listing with note</t>
        </is>
      </c>
      <c r="F29" s="24" t="inlineStr">
        <is>
          <t>Functional</t>
        </is>
      </c>
      <c r="G29" s="24" t="inlineStr">
        <is>
          <t>High</t>
        </is>
      </c>
      <c r="H29" s="24" t="inlineStr">
        <is>
          <t>Admin; pending listing</t>
        </is>
      </c>
      <c r="I29" s="24" t="inlineStr">
        <is>
          <t>1. Reject with reason.</t>
        </is>
      </c>
      <c r="J29" s="24" t="inlineStr">
        <is>
          <t>Pending listing</t>
        </is>
      </c>
      <c r="K29" s="24" t="inlineStr">
        <is>
          <t>Status rejected; owner sees reason and is notified; never public.</t>
        </is>
      </c>
      <c r="L29" s="24" t="inlineStr">
        <is>
          <t>New</t>
        </is>
      </c>
      <c r="M29" s="27" t="inlineStr">
        <is>
          <t>Not Run</t>
        </is>
      </c>
      <c r="N29" s="27" t="n"/>
      <c r="O29" s="27" t="n"/>
      <c r="P29" s="27" t="n"/>
      <c r="Q29" s="24" t="n"/>
    </row>
    <row r="30" ht="22.35" customHeight="1" s="18">
      <c r="A30" s="23" t="inlineStr">
        <is>
          <t>TC-VER-004</t>
        </is>
      </c>
      <c r="B30" s="24" t="inlineStr">
        <is>
          <t>UC-10</t>
        </is>
      </c>
      <c r="C30" s="24" t="inlineStr">
        <is>
          <t>FR-003</t>
        </is>
      </c>
      <c r="D30" s="24" t="inlineStr">
        <is>
          <t>Admin Listing Review</t>
        </is>
      </c>
      <c r="E30" s="24" t="inlineStr">
        <is>
          <t>Queue shows both documents + account name</t>
        </is>
      </c>
      <c r="F30" s="24" t="inlineStr">
        <is>
          <t>Functional</t>
        </is>
      </c>
      <c r="G30" s="24" t="inlineStr">
        <is>
          <t>High</t>
        </is>
      </c>
      <c r="H30" s="24" t="inlineStr">
        <is>
          <t>Pending listing with photo + PDF docs</t>
        </is>
      </c>
      <c r="I30" s="24" t="inlineStr">
        <is>
          <t>1. Open item in queue.</t>
        </is>
      </c>
      <c r="J30" s="24" t="inlineStr">
        <is>
          <t>JPG ID + PDF deed</t>
        </is>
      </c>
      <c r="K30" s="24" t="inlineStr">
        <is>
          <t>Photos, ownership doc and gov ID viewable next to account name.</t>
        </is>
      </c>
      <c r="L30" s="24" t="inlineStr">
        <is>
          <t>New</t>
        </is>
      </c>
      <c r="M30" s="27" t="inlineStr">
        <is>
          <t>Not Run</t>
        </is>
      </c>
      <c r="N30" s="27" t="n"/>
      <c r="O30" s="27" t="n"/>
      <c r="P30" s="27" t="n"/>
      <c r="Q30" s="24" t="inlineStr">
        <is>
          <t>Regression for BUG-002; depends on BUG-006.</t>
        </is>
      </c>
    </row>
    <row r="31" ht="15" customHeight="1" s="18">
      <c r="A31" s="23" t="inlineStr">
        <is>
          <t>TC-VER-005</t>
        </is>
      </c>
      <c r="B31" s="24" t="inlineStr">
        <is>
          <t>UC-10</t>
        </is>
      </c>
      <c r="C31" s="24" t="inlineStr">
        <is>
          <t>FR-003</t>
        </is>
      </c>
      <c r="D31" s="24" t="inlineStr">
        <is>
          <t>Admin Listing Review</t>
        </is>
      </c>
      <c r="E31" s="24" t="inlineStr">
        <is>
          <t>Non-admin cannot approve</t>
        </is>
      </c>
      <c r="F31" s="24" t="inlineStr">
        <is>
          <t>Security</t>
        </is>
      </c>
      <c r="G31" s="24" t="inlineStr">
        <is>
          <t>High</t>
        </is>
      </c>
      <c r="H31" s="24" t="inlineStr">
        <is>
          <t>Regular user</t>
        </is>
      </c>
      <c r="I31" s="24" t="inlineStr">
        <is>
          <t>1. Direct write verificationStatus='verified' on own listing.</t>
        </is>
      </c>
      <c r="J31" s="24" t="inlineStr">
        <is>
          <t>Own pending listing</t>
        </is>
      </c>
      <c r="K31" s="24" t="inlineStr">
        <is>
          <t>Write denied.</t>
        </is>
      </c>
      <c r="L31" s="24" t="inlineStr">
        <is>
          <t>New</t>
        </is>
      </c>
      <c r="M31" s="27" t="inlineStr">
        <is>
          <t>Not Run</t>
        </is>
      </c>
      <c r="N31" s="27" t="n"/>
      <c r="O31" s="27" t="n"/>
      <c r="P31" s="27" t="n"/>
      <c r="Q31" s="24" t="inlineStr">
        <is>
          <t>Unblocked 2026-10-01: rules deployed to trusthome-ph (commit a1fe48e). Run on the live test project.</t>
        </is>
      </c>
    </row>
    <row r="32" ht="22.35" customHeight="1" s="18">
      <c r="A32" s="23" t="inlineStr">
        <is>
          <t>TC-VER-006</t>
        </is>
      </c>
      <c r="B32" s="24" t="inlineStr">
        <is>
          <t>UC-10</t>
        </is>
      </c>
      <c r="C32" s="24" t="inlineStr">
        <is>
          <t>FR-003</t>
        </is>
      </c>
      <c r="D32" s="24" t="inlineStr">
        <is>
          <t>Admin Listing Review</t>
        </is>
      </c>
      <c r="E32" s="24" t="inlineStr">
        <is>
          <t>Documents not exposed publicly</t>
        </is>
      </c>
      <c r="F32" s="24" t="inlineStr">
        <is>
          <t>Security</t>
        </is>
      </c>
      <c r="G32" s="24" t="inlineStr">
        <is>
          <t>High</t>
        </is>
      </c>
      <c r="H32" s="24" t="inlineStr">
        <is>
          <t>Verified listing</t>
        </is>
      </c>
      <c r="I32" s="24" t="inlineStr">
        <is>
          <t>1. As guest, open listing detail and inspect network/page source.</t>
        </is>
      </c>
      <c r="J32" s="24" t="inlineStr">
        <is>
          <t>Verified listing</t>
        </is>
      </c>
      <c r="K32" s="24" t="inlineStr">
        <is>
          <t>No ownership/ID document URLs in public data.</t>
        </is>
      </c>
      <c r="L32" s="24" t="inlineStr">
        <is>
          <t>New</t>
        </is>
      </c>
      <c r="M32" s="27" t="inlineStr">
        <is>
          <t>Blocked</t>
        </is>
      </c>
      <c r="N32" s="27" t="n"/>
      <c r="O32" s="27" t="n"/>
      <c r="P32" s="27" t="n"/>
      <c r="Q32" s="24" t="inlineStr">
        <is>
          <t>Blocked by F-16: needs private documents + migration (v1.4). See TC-DOC-001 to 009.</t>
        </is>
      </c>
    </row>
    <row r="33" ht="15" customHeight="1" s="18">
      <c r="A33" s="23" t="inlineStr">
        <is>
          <t>TC-VER-007</t>
        </is>
      </c>
      <c r="B33" s="24" t="inlineStr">
        <is>
          <t>UC-10</t>
        </is>
      </c>
      <c r="C33" s="24" t="inlineStr">
        <is>
          <t>FR-003</t>
        </is>
      </c>
      <c r="D33" s="24" t="inlineStr">
        <is>
          <t>Admin Listing Review</t>
        </is>
      </c>
      <c r="E33" s="24" t="inlineStr">
        <is>
          <t>Empty review queue state</t>
        </is>
      </c>
      <c r="F33" s="24" t="inlineStr">
        <is>
          <t>UI</t>
        </is>
      </c>
      <c r="G33" s="24" t="inlineStr">
        <is>
          <t>Low</t>
        </is>
      </c>
      <c r="H33" s="24" t="inlineStr">
        <is>
          <t>No pending listings</t>
        </is>
      </c>
      <c r="I33" s="24" t="inlineStr">
        <is>
          <t>1. Open queue.</t>
        </is>
      </c>
      <c r="J33" s="24" t="inlineStr">
        <is>
          <t>-</t>
        </is>
      </c>
      <c r="K33" s="24" t="inlineStr">
        <is>
          <t>Empty-state message, no error.</t>
        </is>
      </c>
      <c r="L33" s="24" t="inlineStr">
        <is>
          <t>New</t>
        </is>
      </c>
      <c r="M33" s="27" t="inlineStr">
        <is>
          <t>Not Run</t>
        </is>
      </c>
      <c r="N33" s="27" t="n"/>
      <c r="O33" s="27" t="n"/>
      <c r="P33" s="27" t="n"/>
      <c r="Q33" s="24" t="n"/>
    </row>
    <row r="34" ht="15" customHeight="1" s="18">
      <c r="A34" s="23" t="inlineStr">
        <is>
          <t>TC-SRCH-001</t>
        </is>
      </c>
      <c r="B34" s="24" t="inlineStr">
        <is>
          <t>UC-11</t>
        </is>
      </c>
      <c r="C34" s="24" t="inlineStr">
        <is>
          <t>FR-004</t>
        </is>
      </c>
      <c r="D34" s="24" t="inlineStr">
        <is>
          <t>Search &amp; Browse</t>
        </is>
      </c>
      <c r="E34" s="24" t="inlineStr">
        <is>
          <t>Filter by city, price, type</t>
        </is>
      </c>
      <c r="F34" s="24" t="inlineStr">
        <is>
          <t>Functional</t>
        </is>
      </c>
      <c r="G34" s="24" t="inlineStr">
        <is>
          <t>High</t>
        </is>
      </c>
      <c r="H34" s="24" t="inlineStr">
        <is>
          <t>Seeded listings</t>
        </is>
      </c>
      <c r="I34" s="24" t="inlineStr">
        <is>
          <t>1. Open Browse. 2. Apply filters.</t>
        </is>
      </c>
      <c r="J34" s="24" t="inlineStr">
        <is>
          <t>Several cities</t>
        </is>
      </c>
      <c r="K34" s="24" t="inlineStr">
        <is>
          <t>Only verified matches shown; empty state when none.</t>
        </is>
      </c>
      <c r="L34" s="24" t="inlineStr">
        <is>
          <t>Existing (QA doc)</t>
        </is>
      </c>
      <c r="M34" s="27" t="inlineStr">
        <is>
          <t>Passed (Dev)</t>
        </is>
      </c>
      <c r="N34" s="27" t="n"/>
      <c r="O34" s="27" t="n"/>
      <c r="P34" s="27" t="n"/>
      <c r="Q34" s="24" t="n"/>
    </row>
    <row r="35" ht="22.35" customHeight="1" s="18">
      <c r="A35" s="23" t="inlineStr">
        <is>
          <t>TC-SRCH-002</t>
        </is>
      </c>
      <c r="B35" s="24" t="inlineStr">
        <is>
          <t>UC-11</t>
        </is>
      </c>
      <c r="C35" s="24" t="inlineStr">
        <is>
          <t>FR-010</t>
        </is>
      </c>
      <c r="D35" s="24" t="inlineStr">
        <is>
          <t>Search &amp; Browse</t>
        </is>
      </c>
      <c r="E35" s="24" t="inlineStr">
        <is>
          <t>Default sort by trust score</t>
        </is>
      </c>
      <c r="F35" s="24" t="inlineStr">
        <is>
          <t>Integration</t>
        </is>
      </c>
      <c r="G35" s="24" t="inlineStr">
        <is>
          <t>High</t>
        </is>
      </c>
      <c r="H35" s="24" t="inlineStr">
        <is>
          <t>Workflow run</t>
        </is>
      </c>
      <c r="I35" s="24" t="inlineStr">
        <is>
          <t>1. Run workflow. 2. Check computedAt. 3. Open Browse.</t>
        </is>
      </c>
      <c r="J35" s="24" t="inlineStr">
        <is>
          <t>Seeded bookings/ratings</t>
        </is>
      </c>
      <c r="K35" s="24" t="inlineStr">
        <is>
          <t>Listings ordered by score, differing from price/recency sort.</t>
        </is>
      </c>
      <c r="L35" s="24" t="inlineStr">
        <is>
          <t>Existing (QA doc)</t>
        </is>
      </c>
      <c r="M35" s="27" t="inlineStr">
        <is>
          <t>Passed (Dev)</t>
        </is>
      </c>
      <c r="N35" s="27" t="n"/>
      <c r="O35" s="27" t="n"/>
      <c r="P35" s="27" t="n"/>
      <c r="Q35" s="24" t="n"/>
    </row>
    <row r="36" ht="22.35" customHeight="1" s="18">
      <c r="A36" s="23" t="inlineStr">
        <is>
          <t>TC-SRCH-003</t>
        </is>
      </c>
      <c r="B36" s="24" t="inlineStr">
        <is>
          <t>UC-11</t>
        </is>
      </c>
      <c r="C36" s="24" t="inlineStr">
        <is>
          <t>FR-004</t>
        </is>
      </c>
      <c r="D36" s="24" t="inlineStr">
        <is>
          <t>Search &amp; Browse</t>
        </is>
      </c>
      <c r="E36" s="24" t="inlineStr">
        <is>
          <t>Pending/rejected/suspended listings excluded</t>
        </is>
      </c>
      <c r="F36" s="24" t="inlineStr">
        <is>
          <t>Functional</t>
        </is>
      </c>
      <c r="G36" s="24" t="inlineStr">
        <is>
          <t>High</t>
        </is>
      </c>
      <c r="H36" s="24" t="inlineStr">
        <is>
          <t>Mixed statuses seeded</t>
        </is>
      </c>
      <c r="I36" s="24" t="inlineStr">
        <is>
          <t>1. Browse without filters.</t>
        </is>
      </c>
      <c r="J36" s="24" t="inlineStr">
        <is>
          <t>Mixed listings</t>
        </is>
      </c>
      <c r="K36" s="24" t="inlineStr">
        <is>
          <t>Only verified, non-suspended listings shown.</t>
        </is>
      </c>
      <c r="L36" s="24" t="inlineStr">
        <is>
          <t>New</t>
        </is>
      </c>
      <c r="M36" s="27" t="inlineStr">
        <is>
          <t>Not Run</t>
        </is>
      </c>
      <c r="N36" s="27" t="n"/>
      <c r="O36" s="27" t="n"/>
      <c r="P36" s="27" t="n"/>
      <c r="Q36" s="24" t="n"/>
    </row>
    <row r="37" ht="15" customHeight="1" s="18">
      <c r="A37" s="23" t="inlineStr">
        <is>
          <t>TC-SRCH-004</t>
        </is>
      </c>
      <c r="B37" s="24" t="inlineStr">
        <is>
          <t>UC-11</t>
        </is>
      </c>
      <c r="C37" s="24" t="inlineStr">
        <is>
          <t>FR-004</t>
        </is>
      </c>
      <c r="D37" s="24" t="inlineStr">
        <is>
          <t>Search &amp; Browse</t>
        </is>
      </c>
      <c r="E37" s="24" t="inlineStr">
        <is>
          <t>Price range boundaries</t>
        </is>
      </c>
      <c r="F37" s="24" t="inlineStr">
        <is>
          <t>Boundary</t>
        </is>
      </c>
      <c r="G37" s="24" t="inlineStr">
        <is>
          <t>Medium</t>
        </is>
      </c>
      <c r="H37" s="24" t="inlineStr">
        <is>
          <t>Seeded listings</t>
        </is>
      </c>
      <c r="I37" s="24" t="inlineStr">
        <is>
          <t>1. Set min=max=exact price of one listing. 2. Set min &gt; max.</t>
        </is>
      </c>
      <c r="J37" s="24" t="inlineStr">
        <is>
          <t>Known prices</t>
        </is>
      </c>
      <c r="K37" s="24" t="inlineStr">
        <is>
          <t>Inclusive match; invalid range handled with message.</t>
        </is>
      </c>
      <c r="L37" s="24" t="inlineStr">
        <is>
          <t>New</t>
        </is>
      </c>
      <c r="M37" s="27" t="inlineStr">
        <is>
          <t>Not Run</t>
        </is>
      </c>
      <c r="N37" s="27" t="n"/>
      <c r="O37" s="27" t="n"/>
      <c r="P37" s="27" t="n"/>
      <c r="Q37" s="24" t="n"/>
    </row>
    <row r="38" ht="22.35" customHeight="1" s="18">
      <c r="A38" s="23" t="inlineStr">
        <is>
          <t>TC-SRCH-005</t>
        </is>
      </c>
      <c r="B38" s="24" t="inlineStr">
        <is>
          <t>UC-12</t>
        </is>
      </c>
      <c r="C38" s="24" t="inlineStr">
        <is>
          <t>FR-004</t>
        </is>
      </c>
      <c r="D38" s="24" t="inlineStr">
        <is>
          <t>Search &amp; Browse</t>
        </is>
      </c>
      <c r="E38" s="24" t="inlineStr">
        <is>
          <t>Listing detail content above the fold</t>
        </is>
      </c>
      <c r="F38" s="24" t="inlineStr">
        <is>
          <t>UI</t>
        </is>
      </c>
      <c r="G38" s="24" t="inlineStr">
        <is>
          <t>Medium</t>
        </is>
      </c>
      <c r="H38" s="24" t="inlineStr">
        <is>
          <t>Verified listing</t>
        </is>
      </c>
      <c r="I38" s="24" t="inlineStr">
        <is>
          <t>1. Open listing at 390 px.</t>
        </is>
      </c>
      <c r="J38" s="24" t="inlineStr">
        <is>
          <t>-</t>
        </is>
      </c>
      <c r="K38" s="24" t="inlineStr">
        <is>
          <t>Verified badge + trust score visible without scrolling; Request Booking is the dominant CTA.</t>
        </is>
      </c>
      <c r="L38" s="24" t="inlineStr">
        <is>
          <t>New</t>
        </is>
      </c>
      <c r="M38" s="27" t="inlineStr">
        <is>
          <t>Not Run</t>
        </is>
      </c>
      <c r="N38" s="27" t="n"/>
      <c r="O38" s="27" t="n"/>
      <c r="P38" s="27" t="n"/>
      <c r="Q38" s="24" t="inlineStr">
        <is>
          <t>Design Guide Part C.</t>
        </is>
      </c>
    </row>
    <row r="39" ht="15" customHeight="1" s="18">
      <c r="A39" s="23" t="inlineStr">
        <is>
          <t>TC-SRCH-006</t>
        </is>
      </c>
      <c r="B39" s="24" t="inlineStr">
        <is>
          <t>UC-12</t>
        </is>
      </c>
      <c r="C39" s="24" t="inlineStr">
        <is>
          <t>FR-001</t>
        </is>
      </c>
      <c r="D39" s="24" t="inlineStr">
        <is>
          <t>Search &amp; Browse</t>
        </is>
      </c>
      <c r="E39" s="24" t="inlineStr">
        <is>
          <t>Guest clicks Request Booking</t>
        </is>
      </c>
      <c r="F39" s="24" t="inlineStr">
        <is>
          <t>Functional</t>
        </is>
      </c>
      <c r="G39" s="24" t="inlineStr">
        <is>
          <t>Medium</t>
        </is>
      </c>
      <c r="H39" s="24" t="inlineStr">
        <is>
          <t>Signed out</t>
        </is>
      </c>
      <c r="I39" s="24" t="inlineStr">
        <is>
          <t>1. Open listing. 2. Click Request Booking.</t>
        </is>
      </c>
      <c r="J39" s="24" t="inlineStr">
        <is>
          <t>-</t>
        </is>
      </c>
      <c r="K39" s="24" t="inlineStr">
        <is>
          <t>Prompted to sign in; returns to listing after login.</t>
        </is>
      </c>
      <c r="L39" s="24" t="inlineStr">
        <is>
          <t>New</t>
        </is>
      </c>
      <c r="M39" s="27" t="inlineStr">
        <is>
          <t>Not Run</t>
        </is>
      </c>
      <c r="N39" s="27" t="n"/>
      <c r="O39" s="27" t="n"/>
      <c r="P39" s="27" t="n"/>
      <c r="Q39" s="24" t="n"/>
    </row>
    <row r="40" ht="22.35" customHeight="1" s="18">
      <c r="A40" s="23" t="inlineStr">
        <is>
          <t>TC-SRCH-007</t>
        </is>
      </c>
      <c r="B40" s="24" t="inlineStr">
        <is>
          <t>UC-12</t>
        </is>
      </c>
      <c r="C40" s="24" t="inlineStr">
        <is>
          <t>FR-004</t>
        </is>
      </c>
      <c r="D40" s="24" t="inlineStr">
        <is>
          <t>Search &amp; Browse</t>
        </is>
      </c>
      <c r="E40" s="24" t="inlineStr">
        <is>
          <t>Home shows live verified listings only</t>
        </is>
      </c>
      <c r="F40" s="24" t="inlineStr">
        <is>
          <t>Functional</t>
        </is>
      </c>
      <c r="G40" s="24" t="inlineStr">
        <is>
          <t>Low</t>
        </is>
      </c>
      <c r="H40" s="24" t="inlineStr">
        <is>
          <t>-</t>
        </is>
      </c>
      <c r="I40" s="24" t="inlineStr">
        <is>
          <t>1. Open Home.</t>
        </is>
      </c>
      <c r="J40" s="24" t="inlineStr">
        <is>
          <t>-</t>
        </is>
      </c>
      <c r="K40" s="24" t="inlineStr">
        <is>
          <t>Rental showcase uses verified live listings; no sample cards.</t>
        </is>
      </c>
      <c r="L40" s="24" t="inlineStr">
        <is>
          <t>New</t>
        </is>
      </c>
      <c r="M40" s="27" t="inlineStr">
        <is>
          <t>Not Run</t>
        </is>
      </c>
      <c r="N40" s="27" t="n"/>
      <c r="O40" s="27" t="n"/>
      <c r="P40" s="27" t="n"/>
      <c r="Q40" s="24" t="inlineStr">
        <is>
          <t>P2 navigation change.</t>
        </is>
      </c>
    </row>
    <row r="41" ht="22.35" customHeight="1" s="18">
      <c r="A41" s="23" t="inlineStr">
        <is>
          <t>TC-BOOK-001</t>
        </is>
      </c>
      <c r="B41" s="24" t="inlineStr">
        <is>
          <t>UC-14</t>
        </is>
      </c>
      <c r="C41" s="24" t="inlineStr">
        <is>
          <t>FR-005</t>
        </is>
      </c>
      <c r="D41" s="24" t="inlineStr">
        <is>
          <t>Booking</t>
        </is>
      </c>
      <c r="E41" s="24" t="inlineStr">
        <is>
          <t>Request free dates</t>
        </is>
      </c>
      <c r="F41" s="24" t="inlineStr">
        <is>
          <t>Functional</t>
        </is>
      </c>
      <c r="G41" s="24" t="inlineStr">
        <is>
          <t>High</t>
        </is>
      </c>
      <c r="H41" s="24" t="inlineStr">
        <is>
          <t>Renter signed in</t>
        </is>
      </c>
      <c r="I41" s="24" t="inlineStr">
        <is>
          <t>1. Open verified listing. 2. Request free dates.</t>
        </is>
      </c>
      <c r="J41" s="24" t="inlineStr">
        <is>
          <t>No Confirmed booking on Jan 5–8</t>
        </is>
      </c>
      <c r="K41" s="24" t="inlineStr">
        <is>
          <t>Booking Pending; owner sees request.</t>
        </is>
      </c>
      <c r="L41" s="24" t="inlineStr">
        <is>
          <t>Existing (QA doc)</t>
        </is>
      </c>
      <c r="M41" s="27" t="inlineStr">
        <is>
          <t>Passed (Dev)</t>
        </is>
      </c>
      <c r="N41" s="27" t="n"/>
      <c r="O41" s="27" t="n"/>
      <c r="P41" s="27" t="n"/>
      <c r="Q41" s="24" t="n"/>
    </row>
    <row r="42" ht="22.35" customHeight="1" s="18">
      <c r="A42" s="23" t="inlineStr">
        <is>
          <t>TC-BOOK-002</t>
        </is>
      </c>
      <c r="B42" s="24" t="inlineStr">
        <is>
          <t>UC-14</t>
        </is>
      </c>
      <c r="C42" s="24" t="inlineStr">
        <is>
          <t>FR-006</t>
        </is>
      </c>
      <c r="D42" s="24" t="inlineStr">
        <is>
          <t>Booking</t>
        </is>
      </c>
      <c r="E42" s="24" t="inlineStr">
        <is>
          <t>Overlap with Confirmed booking rejected</t>
        </is>
      </c>
      <c r="F42" s="24" t="inlineStr">
        <is>
          <t>Negative</t>
        </is>
      </c>
      <c r="G42" s="24" t="inlineStr">
        <is>
          <t>High</t>
        </is>
      </c>
      <c r="H42" s="24" t="inlineStr">
        <is>
          <t>Confirmed Dec 10–15</t>
        </is>
      </c>
      <c r="I42" s="24" t="inlineStr">
        <is>
          <t>1. Request Dec 12–18.</t>
        </is>
      </c>
      <c r="J42" s="24" t="inlineStr">
        <is>
          <t>Seeded Confirmed booking</t>
        </is>
      </c>
      <c r="K42" s="24" t="inlineStr">
        <is>
          <t>'Dates unavailable'; no document created.</t>
        </is>
      </c>
      <c r="L42" s="24" t="inlineStr">
        <is>
          <t>Existing (QA doc)</t>
        </is>
      </c>
      <c r="M42" s="27" t="inlineStr">
        <is>
          <t>Passed (Dev)</t>
        </is>
      </c>
      <c r="N42" s="27" t="n"/>
      <c r="O42" s="27" t="n"/>
      <c r="P42" s="27" t="n"/>
      <c r="Q42" s="24" t="n"/>
    </row>
    <row r="43" ht="15" customHeight="1" s="18">
      <c r="A43" s="23" t="inlineStr">
        <is>
          <t>TC-BOOK-003</t>
        </is>
      </c>
      <c r="B43" s="24" t="inlineStr">
        <is>
          <t>UC-15</t>
        </is>
      </c>
      <c r="C43" s="24" t="inlineStr">
        <is>
          <t>FR-006</t>
        </is>
      </c>
      <c r="D43" s="24" t="inlineStr">
        <is>
          <t>Booking</t>
        </is>
      </c>
      <c r="E43" s="24" t="inlineStr">
        <is>
          <t>First confirmation wins</t>
        </is>
      </c>
      <c r="F43" s="24" t="inlineStr">
        <is>
          <t>Functional</t>
        </is>
      </c>
      <c r="G43" s="24" t="inlineStr">
        <is>
          <t>High</t>
        </is>
      </c>
      <c r="H43" s="24" t="inlineStr">
        <is>
          <t>Two Pending same dates</t>
        </is>
      </c>
      <c r="I43" s="24" t="inlineStr">
        <is>
          <t>1. Owner confirms first. 2. Owner confirms second.</t>
        </is>
      </c>
      <c r="J43" s="24" t="inlineStr">
        <is>
          <t>Two renters</t>
        </is>
      </c>
      <c r="K43" s="24" t="inlineStr">
        <is>
          <t>Second confirmation rejected by confirm-time check.</t>
        </is>
      </c>
      <c r="L43" s="24" t="inlineStr">
        <is>
          <t>Existing (QA doc)</t>
        </is>
      </c>
      <c r="M43" s="27" t="inlineStr">
        <is>
          <t>Passed (Dev)</t>
        </is>
      </c>
      <c r="N43" s="27" t="n"/>
      <c r="O43" s="27" t="n"/>
      <c r="P43" s="27" t="n"/>
      <c r="Q43" s="24" t="inlineStr">
        <is>
          <t>Passed on emulator only. Deployed app still has F-05 until the trusted API ships; live re-test = TC-API-006.</t>
        </is>
      </c>
    </row>
    <row r="44" ht="22.35" customHeight="1" s="18">
      <c r="A44" s="23" t="inlineStr">
        <is>
          <t>TC-BOOK-004</t>
        </is>
      </c>
      <c r="B44" s="24" t="inlineStr">
        <is>
          <t>UC-41</t>
        </is>
      </c>
      <c r="C44" s="24" t="inlineStr">
        <is>
          <t>FR-005</t>
        </is>
      </c>
      <c r="D44" s="24" t="inlineStr">
        <is>
          <t>Booking</t>
        </is>
      </c>
      <c r="E44" s="24" t="inlineStr">
        <is>
          <t>Forbidden status 'Cancelled' by direct write</t>
        </is>
      </c>
      <c r="F44" s="24" t="inlineStr">
        <is>
          <t>Security</t>
        </is>
      </c>
      <c r="G44" s="24" t="inlineStr">
        <is>
          <t>High</t>
        </is>
      </c>
      <c r="H44" s="24" t="inlineStr">
        <is>
          <t>Pending booking</t>
        </is>
      </c>
      <c r="I44" s="24" t="inlineStr">
        <is>
          <t>1. Direct write status='Cancelled'.</t>
        </is>
      </c>
      <c r="J44" s="24" t="inlineStr">
        <is>
          <t>Pending booking</t>
        </is>
      </c>
      <c r="K44" s="24" t="inlineStr">
        <is>
          <t>Denied; only 4 statuses allowed.</t>
        </is>
      </c>
      <c r="L44" s="24" t="inlineStr">
        <is>
          <t>Existing (QA doc)</t>
        </is>
      </c>
      <c r="M44" s="27" t="inlineStr">
        <is>
          <t>Not Run</t>
        </is>
      </c>
      <c r="N44" s="27" t="n"/>
      <c r="O44" s="27" t="n"/>
      <c r="P44" s="27" t="n"/>
      <c r="Q44" s="24" t="inlineStr">
        <is>
          <t>Unblocked 2026-10-01: rules deployed to trusthome-ph (commit a1fe48e). Run on the live test project.</t>
        </is>
      </c>
    </row>
    <row r="45" ht="15" customHeight="1" s="18">
      <c r="A45" s="23" t="inlineStr">
        <is>
          <t>TC-BOOK-005</t>
        </is>
      </c>
      <c r="B45" s="24" t="inlineStr">
        <is>
          <t>UC-16</t>
        </is>
      </c>
      <c r="C45" s="24" t="inlineStr">
        <is>
          <t>FR-005</t>
        </is>
      </c>
      <c r="D45" s="24" t="inlineStr">
        <is>
          <t>Booking</t>
        </is>
      </c>
      <c r="E45" s="24" t="inlineStr">
        <is>
          <t>Decline pending request</t>
        </is>
      </c>
      <c r="F45" s="24" t="inlineStr">
        <is>
          <t>Functional</t>
        </is>
      </c>
      <c r="G45" s="24" t="inlineStr">
        <is>
          <t>High</t>
        </is>
      </c>
      <c r="H45" s="24" t="inlineStr">
        <is>
          <t>Pending booking</t>
        </is>
      </c>
      <c r="I45" s="24" t="inlineStr">
        <is>
          <t>1. Owner declines.</t>
        </is>
      </c>
      <c r="J45" s="24" t="inlineStr">
        <is>
          <t>Pending booking</t>
        </is>
      </c>
      <c r="K45" s="24" t="inlineStr">
        <is>
          <t>Request removed; no forbidden status written.</t>
        </is>
      </c>
      <c r="L45" s="24" t="inlineStr">
        <is>
          <t>Existing (QA doc)</t>
        </is>
      </c>
      <c r="M45" s="27" t="inlineStr">
        <is>
          <t>Passed (Dev)</t>
        </is>
      </c>
      <c r="N45" s="27" t="n"/>
      <c r="O45" s="27" t="n"/>
      <c r="P45" s="27" t="n"/>
      <c r="Q45" s="24" t="n"/>
    </row>
    <row r="46" ht="15" customHeight="1" s="18">
      <c r="A46" s="23" t="inlineStr">
        <is>
          <t>TC-BOOK-006</t>
        </is>
      </c>
      <c r="B46" s="24" t="inlineStr">
        <is>
          <t>UC-17</t>
        </is>
      </c>
      <c r="C46" s="24" t="inlineStr">
        <is>
          <t>FR-007</t>
        </is>
      </c>
      <c r="D46" s="24" t="inlineStr">
        <is>
          <t>Booking</t>
        </is>
      </c>
      <c r="E46" s="24" t="inlineStr">
        <is>
          <t>Log deposit reference</t>
        </is>
      </c>
      <c r="F46" s="24" t="inlineStr">
        <is>
          <t>Functional</t>
        </is>
      </c>
      <c r="G46" s="24" t="inlineStr">
        <is>
          <t>High</t>
        </is>
      </c>
      <c r="H46" s="24" t="inlineStr">
        <is>
          <t>Confirmed booking</t>
        </is>
      </c>
      <c r="I46" s="24" t="inlineStr">
        <is>
          <t>1. Renter enters GCash ref. 2. Save.</t>
        </is>
      </c>
      <c r="J46" s="24" t="inlineStr">
        <is>
          <t>GC-TEST-0001</t>
        </is>
      </c>
      <c r="K46" s="24" t="inlineStr">
        <is>
          <t>Stored and visible to both; unavailable on Pending.</t>
        </is>
      </c>
      <c r="L46" s="24" t="inlineStr">
        <is>
          <t>Existing (QA doc)</t>
        </is>
      </c>
      <c r="M46" s="27" t="inlineStr">
        <is>
          <t>Passed (Dev)</t>
        </is>
      </c>
      <c r="N46" s="27" t="n"/>
      <c r="O46" s="27" t="n"/>
      <c r="P46" s="27" t="n"/>
      <c r="Q46" s="24" t="n"/>
    </row>
    <row r="47" ht="22.35" customHeight="1" s="18">
      <c r="A47" s="23" t="inlineStr">
        <is>
          <t>TC-BOOK-007</t>
        </is>
      </c>
      <c r="B47" s="24" t="inlineStr">
        <is>
          <t>UC-18</t>
        </is>
      </c>
      <c r="C47" s="24" t="inlineStr">
        <is>
          <t>FR-008</t>
        </is>
      </c>
      <c r="D47" s="24" t="inlineStr">
        <is>
          <t>Booking</t>
        </is>
      </c>
      <c r="E47" s="24" t="inlineStr">
        <is>
          <t>Renter marks booking completed (updated)</t>
        </is>
      </c>
      <c r="F47" s="24" t="inlineStr">
        <is>
          <t>Functional</t>
        </is>
      </c>
      <c r="G47" s="24" t="inlineStr">
        <is>
          <t>High</t>
        </is>
      </c>
      <c r="H47" s="24" t="inlineStr">
        <is>
          <t>Confirmed booking</t>
        </is>
      </c>
      <c r="I47" s="24" t="inlineStr">
        <is>
          <t>1. Renter clicks Mark completed.</t>
        </is>
      </c>
      <c r="J47" s="24" t="inlineStr">
        <is>
          <t>Confirmed booking</t>
        </is>
      </c>
      <c r="K47" s="24" t="inlineStr">
        <is>
          <t>Completed once; rating prompt appears; dispute eligibility preserved.</t>
        </is>
      </c>
      <c r="L47" s="24" t="inlineStr">
        <is>
          <t>Updated</t>
        </is>
      </c>
      <c r="M47" s="27" t="inlineStr">
        <is>
          <t>Not Run</t>
        </is>
      </c>
      <c r="N47" s="27" t="n"/>
      <c r="O47" s="27" t="n"/>
      <c r="P47" s="27" t="n"/>
      <c r="Q47" s="24" t="inlineStr">
        <is>
          <t>Was 'renter or owner'; owner button removed (P1).</t>
        </is>
      </c>
    </row>
    <row r="48" ht="22.35" customHeight="1" s="18">
      <c r="A48" s="23" t="inlineStr">
        <is>
          <t>TC-BOOK-008</t>
        </is>
      </c>
      <c r="B48" s="24" t="inlineStr">
        <is>
          <t>UC-18</t>
        </is>
      </c>
      <c r="C48" s="24" t="inlineStr">
        <is>
          <t>FR-008</t>
        </is>
      </c>
      <c r="D48" s="24" t="inlineStr">
        <is>
          <t>Booking</t>
        </is>
      </c>
      <c r="E48" s="24" t="inlineStr">
        <is>
          <t>Owner has no Mark completed action</t>
        </is>
      </c>
      <c r="F48" s="24" t="inlineStr">
        <is>
          <t>Functional</t>
        </is>
      </c>
      <c r="G48" s="24" t="inlineStr">
        <is>
          <t>High</t>
        </is>
      </c>
      <c r="H48" s="24" t="inlineStr">
        <is>
          <t>Owner with Confirmed booking</t>
        </is>
      </c>
      <c r="I48" s="24" t="inlineStr">
        <is>
          <t>1. Open Booking Requests as owner.</t>
        </is>
      </c>
      <c r="J48" s="24" t="inlineStr">
        <is>
          <t>Confirmed booking</t>
        </is>
      </c>
      <c r="K48" s="24" t="inlineStr">
        <is>
          <t>No Mark completed button on owner side.</t>
        </is>
      </c>
      <c r="L48" s="24" t="inlineStr">
        <is>
          <t>New</t>
        </is>
      </c>
      <c r="M48" s="27" t="inlineStr">
        <is>
          <t>Not Run</t>
        </is>
      </c>
      <c r="N48" s="27" t="n"/>
      <c r="O48" s="27" t="n"/>
      <c r="P48" s="27" t="n"/>
      <c r="Q48" s="24" t="inlineStr">
        <is>
          <t>P1 duplicate completion.</t>
        </is>
      </c>
    </row>
    <row r="49" ht="22.35" customHeight="1" s="18">
      <c r="A49" s="23" t="inlineStr">
        <is>
          <t>TC-BOOK-009</t>
        </is>
      </c>
      <c r="B49" s="24" t="inlineStr">
        <is>
          <t>UC-14</t>
        </is>
      </c>
      <c r="C49" s="24" t="inlineStr">
        <is>
          <t>FR-006</t>
        </is>
      </c>
      <c r="D49" s="24" t="inlineStr">
        <is>
          <t>Booking</t>
        </is>
      </c>
      <c r="E49" s="24" t="inlineStr">
        <is>
          <t>Adjacent date ranges (boundary)</t>
        </is>
      </c>
      <c r="F49" s="24" t="inlineStr">
        <is>
          <t>Boundary</t>
        </is>
      </c>
      <c r="G49" s="24" t="inlineStr">
        <is>
          <t>High</t>
        </is>
      </c>
      <c r="H49" s="24" t="inlineStr">
        <is>
          <t>Confirmed Dec 10–15</t>
        </is>
      </c>
      <c r="I49" s="24" t="inlineStr">
        <is>
          <t>1. Request Dec 15–18. 2. Request Dec 5–10.</t>
        </is>
      </c>
      <c r="J49" s="24" t="inlineStr">
        <is>
          <t>Seeded Confirmed</t>
        </is>
      </c>
      <c r="K49" s="24" t="inlineStr">
        <is>
          <t>Allowed (start &lt; end &amp;&amp; end &gt; start rule; touching edges do not overlap).</t>
        </is>
      </c>
      <c r="L49" s="24" t="inlineStr">
        <is>
          <t>New</t>
        </is>
      </c>
      <c r="M49" s="27" t="inlineStr">
        <is>
          <t>Not Run</t>
        </is>
      </c>
      <c r="N49" s="27" t="n"/>
      <c r="O49" s="27" t="n"/>
      <c r="P49" s="27" t="n"/>
      <c r="Q49" s="24" t="inlineStr">
        <is>
          <t>Confirm team's intended inclusive/exclusive rule.</t>
        </is>
      </c>
    </row>
    <row r="50" ht="22.35" customHeight="1" s="18">
      <c r="A50" s="23" t="inlineStr">
        <is>
          <t>TC-BOOK-010</t>
        </is>
      </c>
      <c r="B50" s="24" t="inlineStr">
        <is>
          <t>UC-14</t>
        </is>
      </c>
      <c r="C50" s="24" t="inlineStr">
        <is>
          <t>FR-006</t>
        </is>
      </c>
      <c r="D50" s="24" t="inlineStr">
        <is>
          <t>Booking</t>
        </is>
      </c>
      <c r="E50" s="24" t="inlineStr">
        <is>
          <t>Range fully containing a Confirmed booking</t>
        </is>
      </c>
      <c r="F50" s="24" t="inlineStr">
        <is>
          <t>Negative</t>
        </is>
      </c>
      <c r="G50" s="24" t="inlineStr">
        <is>
          <t>High</t>
        </is>
      </c>
      <c r="H50" s="24" t="inlineStr">
        <is>
          <t>Confirmed Dec 10–15</t>
        </is>
      </c>
      <c r="I50" s="24" t="inlineStr">
        <is>
          <t>1. Request Dec 1–31.</t>
        </is>
      </c>
      <c r="J50" s="24" t="inlineStr">
        <is>
          <t>Seeded Confirmed</t>
        </is>
      </c>
      <c r="K50" s="24" t="inlineStr">
        <is>
          <t>Rejected.</t>
        </is>
      </c>
      <c r="L50" s="24" t="inlineStr">
        <is>
          <t>New</t>
        </is>
      </c>
      <c r="M50" s="27" t="inlineStr">
        <is>
          <t>Not Run</t>
        </is>
      </c>
      <c r="N50" s="27" t="n"/>
      <c r="O50" s="27" t="n"/>
      <c r="P50" s="27" t="n"/>
      <c r="Q50" s="24" t="n"/>
    </row>
    <row r="51" ht="22.35" customHeight="1" s="18">
      <c r="A51" s="23" t="inlineStr">
        <is>
          <t>TC-BOOK-011</t>
        </is>
      </c>
      <c r="B51" s="24" t="inlineStr">
        <is>
          <t>UC-14</t>
        </is>
      </c>
      <c r="C51" s="24" t="inlineStr">
        <is>
          <t>FR-006</t>
        </is>
      </c>
      <c r="D51" s="24" t="inlineStr">
        <is>
          <t>Booking</t>
        </is>
      </c>
      <c r="E51" s="24" t="inlineStr">
        <is>
          <t>Pending requests do not block each other</t>
        </is>
      </c>
      <c r="F51" s="24" t="inlineStr">
        <is>
          <t>Functional</t>
        </is>
      </c>
      <c r="G51" s="24" t="inlineStr">
        <is>
          <t>Medium</t>
        </is>
      </c>
      <c r="H51" s="24" t="inlineStr">
        <is>
          <t>Existing Pending Dec 10–15</t>
        </is>
      </c>
      <c r="I51" s="24" t="inlineStr">
        <is>
          <t>1. Second renter requests Dec 10–15.</t>
        </is>
      </c>
      <c r="J51" s="24" t="inlineStr">
        <is>
          <t>Two renters</t>
        </is>
      </c>
      <c r="K51" s="24" t="inlineStr">
        <is>
          <t>Second request created as Pending.</t>
        </is>
      </c>
      <c r="L51" s="24" t="inlineStr">
        <is>
          <t>New</t>
        </is>
      </c>
      <c r="M51" s="27" t="inlineStr">
        <is>
          <t>Not Run</t>
        </is>
      </c>
      <c r="N51" s="27" t="n"/>
      <c r="O51" s="27" t="n"/>
      <c r="P51" s="27" t="n"/>
      <c r="Q51" s="24" t="inlineStr">
        <is>
          <t>Build Plan §4.</t>
        </is>
      </c>
    </row>
    <row r="52" ht="22.35" customHeight="1" s="18">
      <c r="A52" s="23" t="inlineStr">
        <is>
          <t>TC-BOOK-012</t>
        </is>
      </c>
      <c r="B52" s="24" t="inlineStr">
        <is>
          <t>UC-14</t>
        </is>
      </c>
      <c r="C52" s="24" t="inlineStr">
        <is>
          <t>FR-005</t>
        </is>
      </c>
      <c r="D52" s="24" t="inlineStr">
        <is>
          <t>Booking</t>
        </is>
      </c>
      <c r="E52" s="24" t="inlineStr">
        <is>
          <t>Invalid dates</t>
        </is>
      </c>
      <c r="F52" s="24" t="inlineStr">
        <is>
          <t>Negative</t>
        </is>
      </c>
      <c r="G52" s="24" t="inlineStr">
        <is>
          <t>High</t>
        </is>
      </c>
      <c r="H52" s="24" t="inlineStr">
        <is>
          <t>Renter</t>
        </is>
      </c>
      <c r="I52" s="24" t="inlineStr">
        <is>
          <t>1. End before start. 2. Start in the past. 3. No dates.</t>
        </is>
      </c>
      <c r="J52" s="24" t="inlineStr">
        <is>
          <t>-</t>
        </is>
      </c>
      <c r="K52" s="24" t="inlineStr">
        <is>
          <t>Blocked; Request button disabled with reason when no dates.</t>
        </is>
      </c>
      <c r="L52" s="24" t="inlineStr">
        <is>
          <t>New</t>
        </is>
      </c>
      <c r="M52" s="27" t="inlineStr">
        <is>
          <t>Not Run</t>
        </is>
      </c>
      <c r="N52" s="27" t="n"/>
      <c r="O52" s="27" t="n"/>
      <c r="P52" s="27" t="n"/>
      <c r="Q52" s="24" t="n"/>
    </row>
    <row r="53" ht="15" customHeight="1" s="18">
      <c r="A53" s="23" t="inlineStr">
        <is>
          <t>TC-BOOK-013</t>
        </is>
      </c>
      <c r="B53" s="24" t="inlineStr">
        <is>
          <t>UC-14</t>
        </is>
      </c>
      <c r="C53" s="24" t="inlineStr">
        <is>
          <t>FR-005</t>
        </is>
      </c>
      <c r="D53" s="24" t="inlineStr">
        <is>
          <t>Booking</t>
        </is>
      </c>
      <c r="E53" s="24" t="inlineStr">
        <is>
          <t>Owner cannot book own listing</t>
        </is>
      </c>
      <c r="F53" s="24" t="inlineStr">
        <is>
          <t>Negative</t>
        </is>
      </c>
      <c r="G53" s="24" t="inlineStr">
        <is>
          <t>Medium</t>
        </is>
      </c>
      <c r="H53" s="24" t="inlineStr">
        <is>
          <t>Owner signed in</t>
        </is>
      </c>
      <c r="I53" s="24" t="inlineStr">
        <is>
          <t>1. Request booking on own listing.</t>
        </is>
      </c>
      <c r="J53" s="24" t="inlineStr">
        <is>
          <t>Own listing</t>
        </is>
      </c>
      <c r="K53" s="24" t="inlineStr">
        <is>
          <t>Blocked (UI + rules).</t>
        </is>
      </c>
      <c r="L53" s="24" t="inlineStr">
        <is>
          <t>New</t>
        </is>
      </c>
      <c r="M53" s="27" t="inlineStr">
        <is>
          <t>Not Run</t>
        </is>
      </c>
      <c r="N53" s="27" t="n"/>
      <c r="O53" s="27" t="n"/>
      <c r="P53" s="27" t="n"/>
      <c r="Q53" s="24" t="inlineStr">
        <is>
          <t>Confirm intended behavior.</t>
        </is>
      </c>
    </row>
    <row r="54" ht="15" customHeight="1" s="18">
      <c r="A54" s="23" t="inlineStr">
        <is>
          <t>TC-BOOK-014</t>
        </is>
      </c>
      <c r="B54" s="24" t="inlineStr">
        <is>
          <t>UC-14</t>
        </is>
      </c>
      <c r="C54" s="24" t="inlineStr">
        <is>
          <t>FR-005</t>
        </is>
      </c>
      <c r="D54" s="24" t="inlineStr">
        <is>
          <t>Booking</t>
        </is>
      </c>
      <c r="E54" s="24" t="inlineStr">
        <is>
          <t>Booking a non-verified listing</t>
        </is>
      </c>
      <c r="F54" s="24" t="inlineStr">
        <is>
          <t>Security</t>
        </is>
      </c>
      <c r="G54" s="24" t="inlineStr">
        <is>
          <t>High</t>
        </is>
      </c>
      <c r="H54" s="24" t="inlineStr">
        <is>
          <t>Pending listing ID</t>
        </is>
      </c>
      <c r="I54" s="24" t="inlineStr">
        <is>
          <t>1. Direct create booking on pending listing.</t>
        </is>
      </c>
      <c r="J54" s="24" t="inlineStr">
        <is>
          <t>Pending listing</t>
        </is>
      </c>
      <c r="K54" s="24" t="inlineStr">
        <is>
          <t>Denied.</t>
        </is>
      </c>
      <c r="L54" s="24" t="inlineStr">
        <is>
          <t>New</t>
        </is>
      </c>
      <c r="M54" s="27" t="inlineStr">
        <is>
          <t>Not Run</t>
        </is>
      </c>
      <c r="N54" s="27" t="n"/>
      <c r="O54" s="27" t="n"/>
      <c r="P54" s="27" t="n"/>
      <c r="Q54" s="24" t="inlineStr">
        <is>
          <t>Unblocked 2026-10-01: rules deployed to trusthome-ph (commit a1fe48e). Run on the live test project.</t>
        </is>
      </c>
    </row>
    <row r="55" ht="22.35" customHeight="1" s="18">
      <c r="A55" s="23" t="inlineStr">
        <is>
          <t>TC-BOOK-015</t>
        </is>
      </c>
      <c r="B55" s="24" t="inlineStr">
        <is>
          <t>UC-17</t>
        </is>
      </c>
      <c r="C55" s="24" t="inlineStr">
        <is>
          <t>FR-007</t>
        </is>
      </c>
      <c r="D55" s="24" t="inlineStr">
        <is>
          <t>Booking</t>
        </is>
      </c>
      <c r="E55" s="24" t="inlineStr">
        <is>
          <t>Deposit reference on Pending / empty / by owner</t>
        </is>
      </c>
      <c r="F55" s="24" t="inlineStr">
        <is>
          <t>Negative</t>
        </is>
      </c>
      <c r="G55" s="24" t="inlineStr">
        <is>
          <t>High</t>
        </is>
      </c>
      <c r="H55" s="24" t="inlineStr">
        <is>
          <t>Pending &amp; Confirmed bookings</t>
        </is>
      </c>
      <c r="I55" s="24" t="inlineStr">
        <is>
          <t>1. Try on Pending. 2. Save empty. 3. Owner writes depositReference directly.</t>
        </is>
      </c>
      <c r="J55" s="24" t="inlineStr">
        <is>
          <t>-</t>
        </is>
      </c>
      <c r="K55" s="24" t="inlineStr">
        <is>
          <t>All rejected.</t>
        </is>
      </c>
      <c r="L55" s="24" t="inlineStr">
        <is>
          <t>New</t>
        </is>
      </c>
      <c r="M55" s="27" t="inlineStr">
        <is>
          <t>Not Run</t>
        </is>
      </c>
      <c r="N55" s="27" t="n"/>
      <c r="O55" s="27" t="n"/>
      <c r="P55" s="27" t="n"/>
      <c r="Q55" s="24" t="n"/>
    </row>
    <row r="56" ht="15" customHeight="1" s="18">
      <c r="A56" s="23" t="inlineStr">
        <is>
          <t>TC-BOOK-016</t>
        </is>
      </c>
      <c r="B56" s="24" t="inlineStr">
        <is>
          <t>UC-18</t>
        </is>
      </c>
      <c r="C56" s="24" t="inlineStr">
        <is>
          <t>FR-008</t>
        </is>
      </c>
      <c r="D56" s="24" t="inlineStr">
        <is>
          <t>Booking</t>
        </is>
      </c>
      <c r="E56" s="24" t="inlineStr">
        <is>
          <t>Completing a Pending booking</t>
        </is>
      </c>
      <c r="F56" s="24" t="inlineStr">
        <is>
          <t>Negative</t>
        </is>
      </c>
      <c r="G56" s="24" t="inlineStr">
        <is>
          <t>Medium</t>
        </is>
      </c>
      <c r="H56" s="24" t="inlineStr">
        <is>
          <t>Pending booking</t>
        </is>
      </c>
      <c r="I56" s="24" t="inlineStr">
        <is>
          <t>1. Direct write status='Completed'.</t>
        </is>
      </c>
      <c r="J56" s="24" t="inlineStr">
        <is>
          <t>Pending booking</t>
        </is>
      </c>
      <c r="K56" s="24" t="inlineStr">
        <is>
          <t>Denied.</t>
        </is>
      </c>
      <c r="L56" s="24" t="inlineStr">
        <is>
          <t>New</t>
        </is>
      </c>
      <c r="M56" s="27" t="inlineStr">
        <is>
          <t>Not Run</t>
        </is>
      </c>
      <c r="N56" s="27" t="n"/>
      <c r="O56" s="27" t="n"/>
      <c r="P56" s="27" t="n"/>
      <c r="Q56" s="24" t="inlineStr">
        <is>
          <t>Unblocked 2026-10-01: rules deployed to trusthome-ph (commit a1fe48e). Run on the live test project.</t>
        </is>
      </c>
    </row>
    <row r="57" ht="15" customHeight="1" s="18">
      <c r="A57" s="23" t="inlineStr">
        <is>
          <t>TC-BOOK-017</t>
        </is>
      </c>
      <c r="B57" s="24" t="inlineStr">
        <is>
          <t>UC-14</t>
        </is>
      </c>
      <c r="C57" s="24" t="inlineStr">
        <is>
          <t>FR-005</t>
        </is>
      </c>
      <c r="D57" s="24" t="inlineStr">
        <is>
          <t>Booking</t>
        </is>
      </c>
      <c r="E57" s="24" t="inlineStr">
        <is>
          <t>Request outside showing windows</t>
        </is>
      </c>
      <c r="F57" s="24" t="inlineStr">
        <is>
          <t>Negative</t>
        </is>
      </c>
      <c r="G57" s="24" t="inlineStr">
        <is>
          <t>Medium</t>
        </is>
      </c>
      <c r="H57" s="24" t="inlineStr">
        <is>
          <t>Listing with Sat 9–12 window</t>
        </is>
      </c>
      <c r="I57" s="24" t="inlineStr">
        <is>
          <t>1. Request Monday 15:00.</t>
        </is>
      </c>
      <c r="J57" s="24" t="inlineStr">
        <is>
          <t>Seeded windows</t>
        </is>
      </c>
      <c r="K57" s="24" t="inlineStr">
        <is>
          <t>Blocked or warned per spec.</t>
        </is>
      </c>
      <c r="L57" s="24" t="inlineStr">
        <is>
          <t>New</t>
        </is>
      </c>
      <c r="M57" s="27" t="inlineStr">
        <is>
          <t>Not Run</t>
        </is>
      </c>
      <c r="N57" s="27" t="n"/>
      <c r="O57" s="27" t="n"/>
      <c r="P57" s="27" t="n"/>
      <c r="Q57" s="24" t="inlineStr">
        <is>
          <t>Confirm expected behavior.</t>
        </is>
      </c>
    </row>
    <row r="58" ht="22.35" customHeight="1" s="18">
      <c r="A58" s="23" t="inlineStr">
        <is>
          <t>TC-BOOK-018</t>
        </is>
      </c>
      <c r="B58" s="24" t="inlineStr">
        <is>
          <t>UC-14</t>
        </is>
      </c>
      <c r="C58" s="24" t="inlineStr">
        <is>
          <t>FR-013</t>
        </is>
      </c>
      <c r="D58" s="24" t="inlineStr">
        <is>
          <t>Booking</t>
        </is>
      </c>
      <c r="E58" s="24" t="inlineStr">
        <is>
          <t>Booking still succeeds if notification write fails</t>
        </is>
      </c>
      <c r="F58" s="24" t="inlineStr">
        <is>
          <t>Reliability</t>
        </is>
      </c>
      <c r="G58" s="24" t="inlineStr">
        <is>
          <t>Medium</t>
        </is>
      </c>
      <c r="H58" s="24" t="inlineStr">
        <is>
          <t>Renter</t>
        </is>
      </c>
      <c r="I58" s="24" t="inlineStr">
        <is>
          <t>1. Force notification write failure. 2. Submit request.</t>
        </is>
      </c>
      <c r="J58" s="24" t="inlineStr">
        <is>
          <t>Test build / rules</t>
        </is>
      </c>
      <c r="K58" s="24" t="inlineStr">
        <is>
          <t>Booking created; failure logged, not shown as booking failure.</t>
        </is>
      </c>
      <c r="L58" s="24" t="inlineStr">
        <is>
          <t>New</t>
        </is>
      </c>
      <c r="M58" s="27" t="inlineStr">
        <is>
          <t>Not Run</t>
        </is>
      </c>
      <c r="N58" s="27" t="n"/>
      <c r="O58" s="27" t="n"/>
      <c r="P58" s="27" t="n"/>
      <c r="Q58" s="24" t="inlineStr">
        <is>
          <t>Best-effort notifications.</t>
        </is>
      </c>
    </row>
    <row r="59" ht="22.35" customHeight="1" s="18">
      <c r="A59" s="23" t="inlineStr">
        <is>
          <t>TC-JOB-001</t>
        </is>
      </c>
      <c r="B59" s="24" t="inlineStr">
        <is>
          <t>UC-19</t>
        </is>
      </c>
      <c r="C59" s="24" t="inlineStr">
        <is>
          <t>FR-008</t>
        </is>
      </c>
      <c r="D59" s="24" t="inlineStr">
        <is>
          <t>Ratings &amp; Completion</t>
        </is>
      </c>
      <c r="E59" s="24" t="inlineStr">
        <is>
          <t>Expired Confirmed booking auto-completes</t>
        </is>
      </c>
      <c r="F59" s="24" t="inlineStr">
        <is>
          <t>Integration</t>
        </is>
      </c>
      <c r="G59" s="24" t="inlineStr">
        <is>
          <t>High</t>
        </is>
      </c>
      <c r="H59" s="24" t="inlineStr">
        <is>
          <t>Expired Confirmed booking</t>
        </is>
      </c>
      <c r="I59" s="24" t="inlineStr">
        <is>
          <t>1. Run workflow. 2. Check booking.</t>
        </is>
      </c>
      <c r="J59" s="24" t="inlineStr">
        <is>
          <t>Seeded</t>
        </is>
      </c>
      <c r="K59" s="24" t="inlineStr">
        <is>
          <t>Status Completed.</t>
        </is>
      </c>
      <c r="L59" s="24" t="inlineStr">
        <is>
          <t>Existing (QA doc)</t>
        </is>
      </c>
      <c r="M59" s="27" t="inlineStr">
        <is>
          <t>Passed (Dev)</t>
        </is>
      </c>
      <c r="N59" s="27" t="n"/>
      <c r="O59" s="27" t="n"/>
      <c r="P59" s="27" t="n"/>
      <c r="Q59" s="24" t="inlineStr">
        <is>
          <t>Re-run in release QA.</t>
        </is>
      </c>
    </row>
    <row r="60" ht="22.35" customHeight="1" s="18">
      <c r="A60" s="23" t="inlineStr">
        <is>
          <t>TC-JOB-002</t>
        </is>
      </c>
      <c r="B60" s="24" t="inlineStr">
        <is>
          <t>UC-19</t>
        </is>
      </c>
      <c r="C60" s="24" t="inlineStr">
        <is>
          <t>FR-008</t>
        </is>
      </c>
      <c r="D60" s="24" t="inlineStr">
        <is>
          <t>Ratings &amp; Completion</t>
        </is>
      </c>
      <c r="E60" s="24" t="inlineStr">
        <is>
          <t>Non-expired or non-Confirmed untouched</t>
        </is>
      </c>
      <c r="F60" s="24" t="inlineStr">
        <is>
          <t>Integration</t>
        </is>
      </c>
      <c r="G60" s="24" t="inlineStr">
        <is>
          <t>Medium</t>
        </is>
      </c>
      <c r="H60" s="24" t="inlineStr">
        <is>
          <t>Mixed bookings</t>
        </is>
      </c>
      <c r="I60" s="24" t="inlineStr">
        <is>
          <t>1. Run job.</t>
        </is>
      </c>
      <c r="J60" s="24" t="inlineStr">
        <is>
          <t>Future Confirmed, expired Pending, Disputed</t>
        </is>
      </c>
      <c r="K60" s="24" t="inlineStr">
        <is>
          <t>None changed.</t>
        </is>
      </c>
      <c r="L60" s="24" t="inlineStr">
        <is>
          <t>New</t>
        </is>
      </c>
      <c r="M60" s="27" t="inlineStr">
        <is>
          <t>Not Run</t>
        </is>
      </c>
      <c r="N60" s="27" t="n"/>
      <c r="O60" s="27" t="n"/>
      <c r="P60" s="27" t="n"/>
      <c r="Q60" s="24" t="n"/>
    </row>
    <row r="61" ht="22.35" customHeight="1" s="18">
      <c r="A61" s="23" t="inlineStr">
        <is>
          <t>TC-JOB-003</t>
        </is>
      </c>
      <c r="B61" s="24" t="inlineStr">
        <is>
          <t>UC-19</t>
        </is>
      </c>
      <c r="C61" s="24" t="inlineStr">
        <is>
          <t>FR-008</t>
        </is>
      </c>
      <c r="D61" s="24" t="inlineStr">
        <is>
          <t>Ratings &amp; Completion</t>
        </is>
      </c>
      <c r="E61" s="24" t="inlineStr">
        <is>
          <t>Job cadence acceptable</t>
        </is>
      </c>
      <c r="F61" s="24" t="inlineStr">
        <is>
          <t>Integration</t>
        </is>
      </c>
      <c r="G61" s="24" t="inlineStr">
        <is>
          <t>Low</t>
        </is>
      </c>
      <c r="H61" s="24" t="inlineStr">
        <is>
          <t>Workflow schedule</t>
        </is>
      </c>
      <c r="I61" s="24" t="inlineStr">
        <is>
          <t>1. Check scrape.yml cron.</t>
        </is>
      </c>
      <c r="J61" s="24" t="inlineStr">
        <is>
          <t>-</t>
        </is>
      </c>
      <c r="K61" s="24" t="inlineStr">
        <is>
          <t>Cadence documented; weekly delay accepted or shortened.</t>
        </is>
      </c>
      <c r="L61" s="24" t="inlineStr">
        <is>
          <t>New</t>
        </is>
      </c>
      <c r="M61" s="27" t="inlineStr">
        <is>
          <t>Not Run</t>
        </is>
      </c>
      <c r="N61" s="27" t="n"/>
      <c r="O61" s="27" t="n"/>
      <c r="P61" s="27" t="n"/>
      <c r="Q61" s="24" t="inlineStr">
        <is>
          <t>Recommendation: move the workflow from weekly to daily (Infrastructure §6.3).</t>
        </is>
      </c>
    </row>
    <row r="62" ht="15" customHeight="1" s="18">
      <c r="A62" s="23" t="inlineStr">
        <is>
          <t>TC-RATE-001</t>
        </is>
      </c>
      <c r="B62" s="24" t="inlineStr">
        <is>
          <t>UC-22</t>
        </is>
      </c>
      <c r="C62" s="24" t="inlineStr">
        <is>
          <t>FR-008</t>
        </is>
      </c>
      <c r="D62" s="24" t="inlineStr">
        <is>
          <t>Ratings &amp; Completion</t>
        </is>
      </c>
      <c r="E62" s="24" t="inlineStr">
        <is>
          <t>Rate a completed booking</t>
        </is>
      </c>
      <c r="F62" s="24" t="inlineStr">
        <is>
          <t>Functional</t>
        </is>
      </c>
      <c r="G62" s="24" t="inlineStr">
        <is>
          <t>Medium</t>
        </is>
      </c>
      <c r="H62" s="24" t="inlineStr">
        <is>
          <t>Completed booking</t>
        </is>
      </c>
      <c r="I62" s="24" t="inlineStr">
        <is>
          <t>1. Submit 1–5 + comment.</t>
        </is>
      </c>
      <c r="J62" s="24" t="inlineStr">
        <is>
          <t>Completed booking</t>
        </is>
      </c>
      <c r="K62" s="24" t="inlineStr">
        <is>
          <t>Rating saved; shown on listing reviews.</t>
        </is>
      </c>
      <c r="L62" s="24" t="inlineStr">
        <is>
          <t>Existing (QA doc)</t>
        </is>
      </c>
      <c r="M62" s="27" t="inlineStr">
        <is>
          <t>Passed (Dev)</t>
        </is>
      </c>
      <c r="N62" s="27" t="n"/>
      <c r="O62" s="27" t="n"/>
      <c r="P62" s="27" t="n"/>
      <c r="Q62" s="24" t="n"/>
    </row>
    <row r="63" ht="22.35" customHeight="1" s="18">
      <c r="A63" s="23" t="inlineStr">
        <is>
          <t>TC-RATE-002</t>
        </is>
      </c>
      <c r="B63" s="24" t="inlineStr">
        <is>
          <t>UC-22</t>
        </is>
      </c>
      <c r="C63" s="24" t="inlineStr">
        <is>
          <t>FR-008</t>
        </is>
      </c>
      <c r="D63" s="24" t="inlineStr">
        <is>
          <t>Ratings &amp; Completion</t>
        </is>
      </c>
      <c r="E63" s="24" t="inlineStr">
        <is>
          <t>Rating on Pending booking by direct write</t>
        </is>
      </c>
      <c r="F63" s="24" t="inlineStr">
        <is>
          <t>Security</t>
        </is>
      </c>
      <c r="G63" s="24" t="inlineStr">
        <is>
          <t>High</t>
        </is>
      </c>
      <c r="H63" s="24" t="inlineStr">
        <is>
          <t>Pending booking</t>
        </is>
      </c>
      <c r="I63" s="24" t="inlineStr">
        <is>
          <t>1. Direct write rating.</t>
        </is>
      </c>
      <c r="J63" s="24" t="inlineStr">
        <is>
          <t>Pending booking</t>
        </is>
      </c>
      <c r="K63" s="24" t="inlineStr">
        <is>
          <t>Denied.</t>
        </is>
      </c>
      <c r="L63" s="24" t="inlineStr">
        <is>
          <t>Existing (QA doc)</t>
        </is>
      </c>
      <c r="M63" s="27" t="inlineStr">
        <is>
          <t>Not Run</t>
        </is>
      </c>
      <c r="N63" s="27" t="n"/>
      <c r="O63" s="27" t="n"/>
      <c r="P63" s="27" t="n"/>
      <c r="Q63" s="24" t="inlineStr">
        <is>
          <t>Unblocked 2026-10-01: rules deployed to trusthome-ph (commit a1fe48e). Run on the live test project.</t>
        </is>
      </c>
    </row>
    <row r="64" ht="15" customHeight="1" s="18">
      <c r="A64" s="23" t="inlineStr">
        <is>
          <t>TC-RATE-003</t>
        </is>
      </c>
      <c r="B64" s="24" t="inlineStr">
        <is>
          <t>UC-22</t>
        </is>
      </c>
      <c r="C64" s="24" t="inlineStr">
        <is>
          <t>FR-008</t>
        </is>
      </c>
      <c r="D64" s="24" t="inlineStr">
        <is>
          <t>Ratings &amp; Completion</t>
        </is>
      </c>
      <c r="E64" s="24" t="inlineStr">
        <is>
          <t>Score outside 1–5</t>
        </is>
      </c>
      <c r="F64" s="24" t="inlineStr">
        <is>
          <t>Negative</t>
        </is>
      </c>
      <c r="G64" s="24" t="inlineStr">
        <is>
          <t>Medium</t>
        </is>
      </c>
      <c r="H64" s="24" t="inlineStr">
        <is>
          <t>Completed booking</t>
        </is>
      </c>
      <c r="I64" s="24" t="inlineStr">
        <is>
          <t>1. Submit 0 or 6.</t>
        </is>
      </c>
      <c r="J64" s="24" t="inlineStr">
        <is>
          <t>0, 6</t>
        </is>
      </c>
      <c r="K64" s="24" t="inlineStr">
        <is>
          <t>Rejected.</t>
        </is>
      </c>
      <c r="L64" s="24" t="inlineStr">
        <is>
          <t>New</t>
        </is>
      </c>
      <c r="M64" s="27" t="inlineStr">
        <is>
          <t>Not Run</t>
        </is>
      </c>
      <c r="N64" s="27" t="n"/>
      <c r="O64" s="27" t="n"/>
      <c r="P64" s="27" t="n"/>
      <c r="Q64" s="24" t="n"/>
    </row>
    <row r="65" ht="15" customHeight="1" s="18">
      <c r="A65" s="23" t="inlineStr">
        <is>
          <t>TC-RATE-004</t>
        </is>
      </c>
      <c r="B65" s="24" t="inlineStr">
        <is>
          <t>UC-22</t>
        </is>
      </c>
      <c r="C65" s="24" t="inlineStr">
        <is>
          <t>FR-008</t>
        </is>
      </c>
      <c r="D65" s="24" t="inlineStr">
        <is>
          <t>Ratings &amp; Completion</t>
        </is>
      </c>
      <c r="E65" s="24" t="inlineStr">
        <is>
          <t>Duplicate rating by same rater</t>
        </is>
      </c>
      <c r="F65" s="24" t="inlineStr">
        <is>
          <t>Negative</t>
        </is>
      </c>
      <c r="G65" s="24" t="inlineStr">
        <is>
          <t>Medium</t>
        </is>
      </c>
      <c r="H65" s="24" t="inlineStr">
        <is>
          <t>Already rated</t>
        </is>
      </c>
      <c r="I65" s="24" t="inlineStr">
        <is>
          <t>1. Rate again.</t>
        </is>
      </c>
      <c r="J65" s="24" t="inlineStr">
        <is>
          <t>-</t>
        </is>
      </c>
      <c r="K65" s="24" t="inlineStr">
        <is>
          <t>Blocked.</t>
        </is>
      </c>
      <c r="L65" s="24" t="inlineStr">
        <is>
          <t>New</t>
        </is>
      </c>
      <c r="M65" s="27" t="inlineStr">
        <is>
          <t>Not Run</t>
        </is>
      </c>
      <c r="N65" s="27" t="n"/>
      <c r="O65" s="27" t="n"/>
      <c r="P65" s="27" t="n"/>
      <c r="Q65" s="24" t="inlineStr">
        <is>
          <t>Max 2 ratings per booking.</t>
        </is>
      </c>
    </row>
    <row r="66" ht="15" customHeight="1" s="18">
      <c r="A66" s="23" t="inlineStr">
        <is>
          <t>TC-RATE-005</t>
        </is>
      </c>
      <c r="B66" s="24" t="inlineStr">
        <is>
          <t>UC-22</t>
        </is>
      </c>
      <c r="C66" s="24" t="inlineStr">
        <is>
          <t>FR-008</t>
        </is>
      </c>
      <c r="D66" s="24" t="inlineStr">
        <is>
          <t>Ratings &amp; Completion</t>
        </is>
      </c>
      <c r="E66" s="24" t="inlineStr">
        <is>
          <t>Non-participant rates booking</t>
        </is>
      </c>
      <c r="F66" s="24" t="inlineStr">
        <is>
          <t>Security</t>
        </is>
      </c>
      <c r="G66" s="24" t="inlineStr">
        <is>
          <t>Medium</t>
        </is>
      </c>
      <c r="H66" s="24" t="inlineStr">
        <is>
          <t>Completed booking</t>
        </is>
      </c>
      <c r="I66" s="24" t="inlineStr">
        <is>
          <t>1. As unrelated user, direct write rating.</t>
        </is>
      </c>
      <c r="J66" s="24" t="inlineStr">
        <is>
          <t>-</t>
        </is>
      </c>
      <c r="K66" s="24" t="inlineStr">
        <is>
          <t>Denied.</t>
        </is>
      </c>
      <c r="L66" s="24" t="inlineStr">
        <is>
          <t>New</t>
        </is>
      </c>
      <c r="M66" s="27" t="inlineStr">
        <is>
          <t>Not Run</t>
        </is>
      </c>
      <c r="N66" s="27" t="n"/>
      <c r="O66" s="27" t="n"/>
      <c r="P66" s="27" t="n"/>
      <c r="Q66" s="24" t="inlineStr">
        <is>
          <t>Unblocked 2026-10-01: rules deployed to trusthome-ph (commit a1fe48e). Run on the live test project.</t>
        </is>
      </c>
    </row>
    <row r="67" ht="22.35" customHeight="1" s="18">
      <c r="A67" s="23" t="inlineStr">
        <is>
          <t>TC-DISP-001</t>
        </is>
      </c>
      <c r="B67" s="24" t="inlineStr">
        <is>
          <t>UC-23</t>
        </is>
      </c>
      <c r="C67" s="24" t="inlineStr">
        <is>
          <t>FR-009</t>
        </is>
      </c>
      <c r="D67" s="24" t="inlineStr">
        <is>
          <t>Disputes</t>
        </is>
      </c>
      <c r="E67" s="24" t="inlineStr">
        <is>
          <t>Raise a dispute (updated)</t>
        </is>
      </c>
      <c r="F67" s="24" t="inlineStr">
        <is>
          <t>Functional</t>
        </is>
      </c>
      <c r="G67" s="24" t="inlineStr">
        <is>
          <t>High</t>
        </is>
      </c>
      <c r="H67" s="24" t="inlineStr">
        <is>
          <t>Confirmed booking</t>
        </is>
      </c>
      <c r="I67" s="24" t="inlineStr">
        <is>
          <t>1. Renter opens booking. 2. Raise Dispute with reason.</t>
        </is>
      </c>
      <c r="J67" s="24" t="inlineStr">
        <is>
          <t>Seeded Confirmed</t>
        </is>
      </c>
      <c r="K67" s="24" t="inlineStr">
        <is>
          <t>Dispute Open in admin queue; booking -&gt; Disputed; prior status + dispute link stored; admins notified.</t>
        </is>
      </c>
      <c r="L67" s="24" t="inlineStr">
        <is>
          <t>Updated</t>
        </is>
      </c>
      <c r="M67" s="27" t="inlineStr">
        <is>
          <t>Not Run</t>
        </is>
      </c>
      <c r="N67" s="27" t="n"/>
      <c r="O67" s="27" t="n"/>
      <c r="P67" s="27" t="n"/>
      <c r="Q67" s="24" t="inlineStr">
        <is>
          <t>Booking state now changes on submit (P1 dispute).</t>
        </is>
      </c>
    </row>
    <row r="68" ht="22.35" customHeight="1" s="18">
      <c r="A68" s="23" t="inlineStr">
        <is>
          <t>TC-DISP-002</t>
        </is>
      </c>
      <c r="B68" s="24" t="inlineStr">
        <is>
          <t>UC-24</t>
        </is>
      </c>
      <c r="C68" s="24" t="inlineStr">
        <is>
          <t>FR-009</t>
        </is>
      </c>
      <c r="D68" s="24" t="inlineStr">
        <is>
          <t>Disputes</t>
        </is>
      </c>
      <c r="E68" s="24" t="inlineStr">
        <is>
          <t>Founded dispute</t>
        </is>
      </c>
      <c r="F68" s="24" t="inlineStr">
        <is>
          <t>Functional</t>
        </is>
      </c>
      <c r="G68" s="24" t="inlineStr">
        <is>
          <t>High</t>
        </is>
      </c>
      <c r="H68" s="24" t="inlineStr">
        <is>
          <t>Open dispute</t>
        </is>
      </c>
      <c r="I68" s="24" t="inlineStr">
        <is>
          <t>1. Admin marks Founded with notes.</t>
        </is>
      </c>
      <c r="J68" s="24" t="inlineStr">
        <is>
          <t>Open dispute</t>
        </is>
      </c>
      <c r="K68" s="24" t="inlineStr">
        <is>
          <t>Owner account + listing suspended; booking stays Disputed; public flag shows; reporter notified.</t>
        </is>
      </c>
      <c r="L68" s="24" t="inlineStr">
        <is>
          <t>Existing (QA doc)</t>
        </is>
      </c>
      <c r="M68" s="27" t="inlineStr">
        <is>
          <t>Passed (Dev)</t>
        </is>
      </c>
      <c r="N68" s="27" t="n"/>
      <c r="O68" s="27" t="n"/>
      <c r="P68" s="27" t="n"/>
      <c r="Q68" s="24" t="inlineStr">
        <is>
          <t>Re-run after P1 change.</t>
        </is>
      </c>
    </row>
    <row r="69" ht="22.35" customHeight="1" s="18">
      <c r="A69" s="23" t="inlineStr">
        <is>
          <t>TC-DISP-003</t>
        </is>
      </c>
      <c r="B69" s="24" t="inlineStr">
        <is>
          <t>UC-24</t>
        </is>
      </c>
      <c r="C69" s="24" t="inlineStr">
        <is>
          <t>FR-009</t>
        </is>
      </c>
      <c r="D69" s="24" t="inlineStr">
        <is>
          <t>Disputes</t>
        </is>
      </c>
      <c r="E69" s="24" t="inlineStr">
        <is>
          <t>Dismissed dispute restores prior status (updated)</t>
        </is>
      </c>
      <c r="F69" s="24" t="inlineStr">
        <is>
          <t>Functional</t>
        </is>
      </c>
      <c r="G69" s="24" t="inlineStr">
        <is>
          <t>High</t>
        </is>
      </c>
      <c r="H69" s="24" t="inlineStr">
        <is>
          <t>Open dispute on Confirmed booking</t>
        </is>
      </c>
      <c r="I69" s="24" t="inlineStr">
        <is>
          <t>1. Admin marks Dismissed.</t>
        </is>
      </c>
      <c r="J69" s="24" t="inlineStr">
        <is>
          <t>Open dispute</t>
        </is>
      </c>
      <c r="K69" s="24" t="inlineStr">
        <is>
          <t>No suspension/flag; booking restored to Confirmed; reporter notified.</t>
        </is>
      </c>
      <c r="L69" s="24" t="inlineStr">
        <is>
          <t>Updated</t>
        </is>
      </c>
      <c r="M69" s="27" t="inlineStr">
        <is>
          <t>Not Run</t>
        </is>
      </c>
      <c r="N69" s="27" t="n"/>
      <c r="O69" s="27" t="n"/>
      <c r="P69" s="27" t="n"/>
      <c r="Q69" s="24" t="inlineStr">
        <is>
          <t>Restore behavior added in P1.</t>
        </is>
      </c>
    </row>
    <row r="70" ht="15" customHeight="1" s="18">
      <c r="A70" s="23" t="inlineStr">
        <is>
          <t>TC-DISP-004</t>
        </is>
      </c>
      <c r="B70" s="24" t="inlineStr">
        <is>
          <t>UC-23</t>
        </is>
      </c>
      <c r="C70" s="24" t="inlineStr">
        <is>
          <t>FR-009</t>
        </is>
      </c>
      <c r="D70" s="24" t="inlineStr">
        <is>
          <t>Disputes</t>
        </is>
      </c>
      <c r="E70" s="24" t="inlineStr">
        <is>
          <t>Duplicate open dispute blocked</t>
        </is>
      </c>
      <c r="F70" s="24" t="inlineStr">
        <is>
          <t>Negative</t>
        </is>
      </c>
      <c r="G70" s="24" t="inlineStr">
        <is>
          <t>High</t>
        </is>
      </c>
      <c r="H70" s="24" t="inlineStr">
        <is>
          <t>Open dispute exists</t>
        </is>
      </c>
      <c r="I70" s="24" t="inlineStr">
        <is>
          <t>1. Raise another dispute on same booking.</t>
        </is>
      </c>
      <c r="J70" s="24" t="inlineStr">
        <is>
          <t>-</t>
        </is>
      </c>
      <c r="K70" s="24" t="inlineStr">
        <is>
          <t>Blocked.</t>
        </is>
      </c>
      <c r="L70" s="24" t="inlineStr">
        <is>
          <t>New</t>
        </is>
      </c>
      <c r="M70" s="27" t="inlineStr">
        <is>
          <t>Not Run</t>
        </is>
      </c>
      <c r="N70" s="27" t="n"/>
      <c r="O70" s="27" t="n"/>
      <c r="P70" s="27" t="n"/>
      <c r="Q70" s="24" t="n"/>
    </row>
    <row r="71" ht="15" customHeight="1" s="18">
      <c r="A71" s="23" t="inlineStr">
        <is>
          <t>TC-DISP-005</t>
        </is>
      </c>
      <c r="B71" s="24" t="inlineStr">
        <is>
          <t>UC-23</t>
        </is>
      </c>
      <c r="C71" s="24" t="inlineStr">
        <is>
          <t>FR-009</t>
        </is>
      </c>
      <c r="D71" s="24" t="inlineStr">
        <is>
          <t>Disputes</t>
        </is>
      </c>
      <c r="E71" s="24" t="inlineStr">
        <is>
          <t>Dispute on Pending booking</t>
        </is>
      </c>
      <c r="F71" s="24" t="inlineStr">
        <is>
          <t>Negative</t>
        </is>
      </c>
      <c r="G71" s="24" t="inlineStr">
        <is>
          <t>Medium</t>
        </is>
      </c>
      <c r="H71" s="24" t="inlineStr">
        <is>
          <t>Pending booking</t>
        </is>
      </c>
      <c r="I71" s="24" t="inlineStr">
        <is>
          <t>1. Try Raise Dispute.</t>
        </is>
      </c>
      <c r="J71" s="24" t="inlineStr">
        <is>
          <t>-</t>
        </is>
      </c>
      <c r="K71" s="24" t="inlineStr">
        <is>
          <t>Not allowed.</t>
        </is>
      </c>
      <c r="L71" s="24" t="inlineStr">
        <is>
          <t>New</t>
        </is>
      </c>
      <c r="M71" s="27" t="inlineStr">
        <is>
          <t>Not Run</t>
        </is>
      </c>
      <c r="N71" s="27" t="n"/>
      <c r="O71" s="27" t="n"/>
      <c r="P71" s="27" t="n"/>
      <c r="Q71" s="24" t="n"/>
    </row>
    <row r="72" ht="15" customHeight="1" s="18">
      <c r="A72" s="23" t="inlineStr">
        <is>
          <t>TC-DISP-006</t>
        </is>
      </c>
      <c r="B72" s="24" t="inlineStr">
        <is>
          <t>UC-23</t>
        </is>
      </c>
      <c r="C72" s="24" t="inlineStr">
        <is>
          <t>FR-009</t>
        </is>
      </c>
      <c r="D72" s="24" t="inlineStr">
        <is>
          <t>Disputes</t>
        </is>
      </c>
      <c r="E72" s="24" t="inlineStr">
        <is>
          <t>Empty dispute reason</t>
        </is>
      </c>
      <c r="F72" s="24" t="inlineStr">
        <is>
          <t>Negative</t>
        </is>
      </c>
      <c r="G72" s="24" t="inlineStr">
        <is>
          <t>Medium</t>
        </is>
      </c>
      <c r="H72" s="24" t="inlineStr">
        <is>
          <t>Confirmed booking</t>
        </is>
      </c>
      <c r="I72" s="24" t="inlineStr">
        <is>
          <t>1. Submit blank reason.</t>
        </is>
      </c>
      <c r="J72" s="24" t="inlineStr">
        <is>
          <t>-</t>
        </is>
      </c>
      <c r="K72" s="24" t="inlineStr">
        <is>
          <t>Inline error.</t>
        </is>
      </c>
      <c r="L72" s="24" t="inlineStr">
        <is>
          <t>New</t>
        </is>
      </c>
      <c r="M72" s="27" t="inlineStr">
        <is>
          <t>Not Run</t>
        </is>
      </c>
      <c r="N72" s="27" t="n"/>
      <c r="O72" s="27" t="n"/>
      <c r="P72" s="27" t="n"/>
      <c r="Q72" s="24" t="n"/>
    </row>
    <row r="73" ht="22.35" customHeight="1" s="18">
      <c r="A73" s="23" t="inlineStr">
        <is>
          <t>TC-DISP-007</t>
        </is>
      </c>
      <c r="B73" s="24" t="inlineStr">
        <is>
          <t>UC-24</t>
        </is>
      </c>
      <c r="C73" s="24" t="inlineStr">
        <is>
          <t>FR-009</t>
        </is>
      </c>
      <c r="D73" s="24" t="inlineStr">
        <is>
          <t>Disputes</t>
        </is>
      </c>
      <c r="E73" s="24" t="inlineStr">
        <is>
          <t>Audit trail completeness</t>
        </is>
      </c>
      <c r="F73" s="24" t="inlineStr">
        <is>
          <t>Functional</t>
        </is>
      </c>
      <c r="G73" s="24" t="inlineStr">
        <is>
          <t>High</t>
        </is>
      </c>
      <c r="H73" s="24" t="inlineStr">
        <is>
          <t>Resolved dispute</t>
        </is>
      </c>
      <c r="I73" s="24" t="inlineStr">
        <is>
          <t>1. Inspect dispute record.</t>
        </is>
      </c>
      <c r="J73" s="24" t="inlineStr">
        <is>
          <t>-</t>
        </is>
      </c>
      <c r="K73" s="24" t="inlineStr">
        <is>
          <t>Has bookingId, raisedBy, reason, decision, notes, resolver, createdAt, resolvedAt.</t>
        </is>
      </c>
      <c r="L73" s="24" t="inlineStr">
        <is>
          <t>New</t>
        </is>
      </c>
      <c r="M73" s="27" t="inlineStr">
        <is>
          <t>Not Run</t>
        </is>
      </c>
      <c r="N73" s="27" t="n"/>
      <c r="O73" s="27" t="n"/>
      <c r="P73" s="27" t="n"/>
      <c r="Q73" s="24" t="inlineStr">
        <is>
          <t>P1 acceptance.</t>
        </is>
      </c>
    </row>
    <row r="74" ht="15" customHeight="1" s="18">
      <c r="A74" s="23" t="inlineStr">
        <is>
          <t>TC-DISP-008</t>
        </is>
      </c>
      <c r="B74" s="24" t="inlineStr">
        <is>
          <t>UC-24</t>
        </is>
      </c>
      <c r="C74" s="24" t="inlineStr">
        <is>
          <t>FR-009</t>
        </is>
      </c>
      <c r="D74" s="24" t="inlineStr">
        <is>
          <t>Disputes</t>
        </is>
      </c>
      <c r="E74" s="24" t="inlineStr">
        <is>
          <t>Suspended owner's listings hidden</t>
        </is>
      </c>
      <c r="F74" s="24" t="inlineStr">
        <is>
          <t>Integration</t>
        </is>
      </c>
      <c r="G74" s="24" t="inlineStr">
        <is>
          <t>High</t>
        </is>
      </c>
      <c r="H74" s="24" t="inlineStr">
        <is>
          <t>Founded dispute</t>
        </is>
      </c>
      <c r="I74" s="24" t="inlineStr">
        <is>
          <t>1. Browse as guest.</t>
        </is>
      </c>
      <c r="J74" s="24" t="inlineStr">
        <is>
          <t>Suspended owner</t>
        </is>
      </c>
      <c r="K74" s="24" t="inlineStr">
        <is>
          <t>Suspended listing no longer in search.</t>
        </is>
      </c>
      <c r="L74" s="24" t="inlineStr">
        <is>
          <t>New</t>
        </is>
      </c>
      <c r="M74" s="27" t="inlineStr">
        <is>
          <t>Not Run</t>
        </is>
      </c>
      <c r="N74" s="27" t="n"/>
      <c r="O74" s="27" t="n"/>
      <c r="P74" s="27" t="n"/>
      <c r="Q74" s="24" t="n"/>
    </row>
    <row r="75" ht="22.35" customHeight="1" s="18">
      <c r="A75" s="23" t="inlineStr">
        <is>
          <t>TC-DISP-009</t>
        </is>
      </c>
      <c r="B75" s="24" t="inlineStr">
        <is>
          <t>UC-23</t>
        </is>
      </c>
      <c r="C75" s="24" t="inlineStr">
        <is>
          <t>FR-009</t>
        </is>
      </c>
      <c r="D75" s="24" t="inlineStr">
        <is>
          <t>Disputes</t>
        </is>
      </c>
      <c r="E75" s="24" t="inlineStr">
        <is>
          <t>Dispute on Completed booking within window</t>
        </is>
      </c>
      <c r="F75" s="24" t="inlineStr">
        <is>
          <t>Functional</t>
        </is>
      </c>
      <c r="G75" s="24" t="inlineStr">
        <is>
          <t>Medium</t>
        </is>
      </c>
      <c r="H75" s="24" t="inlineStr">
        <is>
          <t>Completed booking</t>
        </is>
      </c>
      <c r="I75" s="24" t="inlineStr">
        <is>
          <t>1. Raise dispute.</t>
        </is>
      </c>
      <c r="J75" s="24" t="inlineStr">
        <is>
          <t>-</t>
        </is>
      </c>
      <c r="K75" s="24" t="inlineStr">
        <is>
          <t>Allowed/blocked per agreed time window.</t>
        </is>
      </c>
      <c r="L75" s="24" t="inlineStr">
        <is>
          <t>New</t>
        </is>
      </c>
      <c r="M75" s="27" t="inlineStr">
        <is>
          <t>Not Run</t>
        </is>
      </c>
      <c r="N75" s="27" t="n"/>
      <c r="O75" s="27" t="n"/>
      <c r="P75" s="27" t="n"/>
      <c r="Q75" s="24" t="inlineStr">
        <is>
          <t>Team policy decision needed: how long after Completed a dispute may be raised (proposed 7 days).</t>
        </is>
      </c>
    </row>
    <row r="76" ht="15" customHeight="1" s="18">
      <c r="A76" s="23" t="inlineStr">
        <is>
          <t>TC-PROF-001</t>
        </is>
      </c>
      <c r="B76" s="24" t="inlineStr">
        <is>
          <t>UC-13</t>
        </is>
      </c>
      <c r="C76" s="24" t="inlineStr">
        <is>
          <t>FR-018</t>
        </is>
      </c>
      <c r="D76" s="24" t="inlineStr">
        <is>
          <t>Public Profile</t>
        </is>
      </c>
      <c r="E76" s="24" t="inlineStr">
        <is>
          <t>Flagged owner profile</t>
        </is>
      </c>
      <c r="F76" s="24" t="inlineStr">
        <is>
          <t>Functional</t>
        </is>
      </c>
      <c r="G76" s="24" t="inlineStr">
        <is>
          <t>Medium</t>
        </is>
      </c>
      <c r="H76" s="24" t="inlineStr">
        <is>
          <t>Owner with 1 Founded</t>
        </is>
      </c>
      <c r="I76" s="24" t="inlineStr">
        <is>
          <t>1. Open public profile.</t>
        </is>
      </c>
      <c r="J76" s="24" t="inlineStr">
        <is>
          <t>Seeded</t>
        </is>
      </c>
      <c r="K76" s="24" t="inlineStr">
        <is>
          <t>Shows trust score, rating, '1 founded dispute' warning.</t>
        </is>
      </c>
      <c r="L76" s="24" t="inlineStr">
        <is>
          <t>Existing (QA doc)</t>
        </is>
      </c>
      <c r="M76" s="27" t="inlineStr">
        <is>
          <t>Passed (Dev)</t>
        </is>
      </c>
      <c r="N76" s="27" t="n"/>
      <c r="O76" s="27" t="n"/>
      <c r="P76" s="27" t="n"/>
      <c r="Q76" s="24" t="n"/>
    </row>
    <row r="77" ht="15" customHeight="1" s="18">
      <c r="A77" s="23" t="inlineStr">
        <is>
          <t>TC-PROF-002</t>
        </is>
      </c>
      <c r="B77" s="24" t="inlineStr">
        <is>
          <t>UC-13</t>
        </is>
      </c>
      <c r="C77" s="24" t="inlineStr">
        <is>
          <t>FR-018</t>
        </is>
      </c>
      <c r="D77" s="24" t="inlineStr">
        <is>
          <t>Public Profile</t>
        </is>
      </c>
      <c r="E77" s="24" t="inlineStr">
        <is>
          <t>Dismissed disputes don't flag</t>
        </is>
      </c>
      <c r="F77" s="24" t="inlineStr">
        <is>
          <t>Functional</t>
        </is>
      </c>
      <c r="G77" s="24" t="inlineStr">
        <is>
          <t>Medium</t>
        </is>
      </c>
      <c r="H77" s="24" t="inlineStr">
        <is>
          <t>Owner with only Dismissed</t>
        </is>
      </c>
      <c r="I77" s="24" t="inlineStr">
        <is>
          <t>1. Open profile.</t>
        </is>
      </c>
      <c r="J77" s="24" t="inlineStr">
        <is>
          <t>-</t>
        </is>
      </c>
      <c r="K77" s="24" t="inlineStr">
        <is>
          <t>No warning shown.</t>
        </is>
      </c>
      <c r="L77" s="24" t="inlineStr">
        <is>
          <t>New</t>
        </is>
      </c>
      <c r="M77" s="27" t="inlineStr">
        <is>
          <t>Not Run</t>
        </is>
      </c>
      <c r="N77" s="27" t="n"/>
      <c r="O77" s="27" t="n"/>
      <c r="P77" s="27" t="n"/>
      <c r="Q77" s="24" t="n"/>
    </row>
    <row r="78" ht="22.35" customHeight="1" s="18">
      <c r="A78" s="23" t="inlineStr">
        <is>
          <t>TC-TRUST-001</t>
        </is>
      </c>
      <c r="B78" s="24" t="inlineStr">
        <is>
          <t>UC-25</t>
        </is>
      </c>
      <c r="C78" s="24" t="inlineStr">
        <is>
          <t>FR-010</t>
        </is>
      </c>
      <c r="D78" s="24" t="inlineStr">
        <is>
          <t>Trust &amp; Fairness Score</t>
        </is>
      </c>
      <c r="E78" s="24" t="inlineStr">
        <is>
          <t>Score formula matches hand calculation</t>
        </is>
      </c>
      <c r="F78" s="24" t="inlineStr">
        <is>
          <t>Unit</t>
        </is>
      </c>
      <c r="G78" s="24" t="inlineStr">
        <is>
          <t>High</t>
        </is>
      </c>
      <c r="H78" s="24" t="inlineStr">
        <is>
          <t>Seed data</t>
        </is>
      </c>
      <c r="I78" s="24" t="inlineStr">
        <is>
          <t>1. Run score functions. 2. Compare with manual calc.</t>
        </is>
      </c>
      <c r="J78" s="24" t="inlineStr">
        <is>
          <t>Seed data</t>
        </is>
      </c>
      <c r="K78" s="24" t="inlineStr">
        <is>
          <t>Sub-scores and total match.</t>
        </is>
      </c>
      <c r="L78" s="24" t="inlineStr">
        <is>
          <t>Existing (QA doc)</t>
        </is>
      </c>
      <c r="M78" s="27" t="inlineStr">
        <is>
          <t>Passed (Dev)</t>
        </is>
      </c>
      <c r="N78" s="27" t="n"/>
      <c r="O78" s="27" t="n"/>
      <c r="P78" s="27" t="n"/>
      <c r="Q78" s="24" t="n"/>
    </row>
    <row r="79" ht="15" customHeight="1" s="18">
      <c r="A79" s="23" t="inlineStr">
        <is>
          <t>TC-TRUST-002</t>
        </is>
      </c>
      <c r="B79" s="24" t="inlineStr">
        <is>
          <t>UC-25</t>
        </is>
      </c>
      <c r="C79" s="24" t="inlineStr">
        <is>
          <t>FR-010</t>
        </is>
      </c>
      <c r="D79" s="24" t="inlineStr">
        <is>
          <t>Trust &amp; Fairness Score</t>
        </is>
      </c>
      <c r="E79" s="24" t="inlineStr">
        <is>
          <t>Only Completed bookings count</t>
        </is>
      </c>
      <c r="F79" s="24" t="inlineStr">
        <is>
          <t>Unit</t>
        </is>
      </c>
      <c r="G79" s="24" t="inlineStr">
        <is>
          <t>High</t>
        </is>
      </c>
      <c r="H79" s="24" t="inlineStr">
        <is>
          <t>Seed listing</t>
        </is>
      </c>
      <c r="I79" s="24" t="inlineStr">
        <is>
          <t>1. Add Pending + Completed. 2. Recompute.</t>
        </is>
      </c>
      <c r="J79" s="24" t="inlineStr">
        <is>
          <t>-</t>
        </is>
      </c>
      <c r="K79" s="24" t="inlineStr">
        <is>
          <t>Only Completed affects booking score.</t>
        </is>
      </c>
      <c r="L79" s="24" t="inlineStr">
        <is>
          <t>Existing (QA doc)</t>
        </is>
      </c>
      <c r="M79" s="27" t="inlineStr">
        <is>
          <t>Passed (Dev)</t>
        </is>
      </c>
      <c r="N79" s="27" t="n"/>
      <c r="O79" s="27" t="n"/>
      <c r="P79" s="27" t="n"/>
      <c r="Q79" s="24" t="n"/>
    </row>
    <row r="80" ht="22.35" customHeight="1" s="18">
      <c r="A80" s="23" t="inlineStr">
        <is>
          <t>TC-TRUST-003</t>
        </is>
      </c>
      <c r="B80" s="24" t="inlineStr">
        <is>
          <t>UC-25</t>
        </is>
      </c>
      <c r="C80" s="24" t="inlineStr">
        <is>
          <t>FR-010</t>
        </is>
      </c>
      <c r="D80" s="24" t="inlineStr">
        <is>
          <t>Trust &amp; Fairness Score</t>
        </is>
      </c>
      <c r="E80" s="24" t="inlineStr">
        <is>
          <t>Recency weighting</t>
        </is>
      </c>
      <c r="F80" s="24" t="inlineStr">
        <is>
          <t>Unit</t>
        </is>
      </c>
      <c r="G80" s="24" t="inlineStr">
        <is>
          <t>Medium</t>
        </is>
      </c>
      <c r="H80" s="24" t="inlineStr">
        <is>
          <t>Completed bookings 2 and 8 months ago</t>
        </is>
      </c>
      <c r="I80" s="24" t="inlineStr">
        <is>
          <t>1. Compute booking score.</t>
        </is>
      </c>
      <c r="J80" s="24" t="inlineStr">
        <is>
          <t>-</t>
        </is>
      </c>
      <c r="K80" s="24" t="inlineStr">
        <is>
          <t>1.0 + 0.5 = 1.5.</t>
        </is>
      </c>
      <c r="L80" s="24" t="inlineStr">
        <is>
          <t>New</t>
        </is>
      </c>
      <c r="M80" s="27" t="inlineStr">
        <is>
          <t>Not Run</t>
        </is>
      </c>
      <c r="N80" s="27" t="n"/>
      <c r="O80" s="27" t="n"/>
      <c r="P80" s="27" t="n"/>
      <c r="Q80" s="24" t="inlineStr">
        <is>
          <t>Build Plan §5.</t>
        </is>
      </c>
    </row>
    <row r="81" ht="15" customHeight="1" s="18">
      <c r="A81" s="23" t="inlineStr">
        <is>
          <t>TC-TRUST-004</t>
        </is>
      </c>
      <c r="B81" s="24" t="inlineStr">
        <is>
          <t>UC-25</t>
        </is>
      </c>
      <c r="C81" s="24" t="inlineStr">
        <is>
          <t>FR-010</t>
        </is>
      </c>
      <c r="D81" s="24" t="inlineStr">
        <is>
          <t>Trust &amp; Fairness Score</t>
        </is>
      </c>
      <c r="E81" s="24" t="inlineStr">
        <is>
          <t>No ratings - no NaN</t>
        </is>
      </c>
      <c r="F81" s="24" t="inlineStr">
        <is>
          <t>Unit</t>
        </is>
      </c>
      <c r="G81" s="24" t="inlineStr">
        <is>
          <t>High</t>
        </is>
      </c>
      <c r="H81" s="24" t="inlineStr">
        <is>
          <t>Listing without ratings</t>
        </is>
      </c>
      <c r="I81" s="24" t="inlineStr">
        <is>
          <t>1. Recompute.</t>
        </is>
      </c>
      <c r="J81" s="24" t="inlineStr">
        <is>
          <t>-</t>
        </is>
      </c>
      <c r="K81" s="24" t="inlineStr">
        <is>
          <t>Rating score 0/default; total is a valid number.</t>
        </is>
      </c>
      <c r="L81" s="24" t="inlineStr">
        <is>
          <t>New</t>
        </is>
      </c>
      <c r="M81" s="27" t="inlineStr">
        <is>
          <t>Not Run</t>
        </is>
      </c>
      <c r="N81" s="27" t="n"/>
      <c r="O81" s="27" t="n"/>
      <c r="P81" s="27" t="n"/>
      <c r="Q81" s="24" t="n"/>
    </row>
    <row r="82" ht="15" customHeight="1" s="18">
      <c r="A82" s="23" t="inlineStr">
        <is>
          <t>TC-TRUST-005</t>
        </is>
      </c>
      <c r="B82" s="24" t="inlineStr">
        <is>
          <t>UC-12</t>
        </is>
      </c>
      <c r="C82" s="24" t="inlineStr">
        <is>
          <t>FR-010</t>
        </is>
      </c>
      <c r="D82" s="24" t="inlineStr">
        <is>
          <t>Trust &amp; Fairness Score</t>
        </is>
      </c>
      <c r="E82" s="24" t="inlineStr">
        <is>
          <t>Trust score display with cue</t>
        </is>
      </c>
      <c r="F82" s="24" t="inlineStr">
        <is>
          <t>UI</t>
        </is>
      </c>
      <c r="G82" s="24" t="inlineStr">
        <is>
          <t>Low</t>
        </is>
      </c>
      <c r="H82" s="24" t="inlineStr">
        <is>
          <t>Verified listing</t>
        </is>
      </c>
      <c r="I82" s="24" t="inlineStr">
        <is>
          <t>1. Open listing detail.</t>
        </is>
      </c>
      <c r="J82" s="24" t="inlineStr">
        <is>
          <t>-</t>
        </is>
      </c>
      <c r="K82" s="24" t="inlineStr">
        <is>
          <t>Numeric score + plain-language cue shown.</t>
        </is>
      </c>
      <c r="L82" s="24" t="inlineStr">
        <is>
          <t>New</t>
        </is>
      </c>
      <c r="M82" s="27" t="inlineStr">
        <is>
          <t>Not Run</t>
        </is>
      </c>
      <c r="N82" s="27" t="n"/>
      <c r="O82" s="27" t="n"/>
      <c r="P82" s="27" t="n"/>
      <c r="Q82" s="24" t="inlineStr">
        <is>
          <t>Design Guide B5.</t>
        </is>
      </c>
    </row>
    <row r="83" ht="15" customHeight="1" s="18">
      <c r="A83" s="23" t="inlineStr">
        <is>
          <t>TC-FAIR-001</t>
        </is>
      </c>
      <c r="B83" s="24" t="inlineStr">
        <is>
          <t>UC-25</t>
        </is>
      </c>
      <c r="C83" s="24" t="inlineStr">
        <is>
          <t>FR-010</t>
        </is>
      </c>
      <c r="D83" s="24" t="inlineStr">
        <is>
          <t>Trust &amp; Fairness Score</t>
        </is>
      </c>
      <c r="E83" s="24" t="inlineStr">
        <is>
          <t>Above/At/Below market labels</t>
        </is>
      </c>
      <c r="F83" s="24" t="inlineStr">
        <is>
          <t>Unit/Integration</t>
        </is>
      </c>
      <c r="G83" s="24" t="inlineStr">
        <is>
          <t>High</t>
        </is>
      </c>
      <c r="H83" s="24" t="inlineStr">
        <is>
          <t>Comparables seeded</t>
        </is>
      </c>
      <c r="I83" s="24" t="inlineStr">
        <is>
          <t>1. Recompute for listings at +20%, 0%, -20% vs median.</t>
        </is>
      </c>
      <c r="J83" s="24" t="inlineStr">
        <is>
          <t>Seeded</t>
        </is>
      </c>
      <c r="K83" s="24" t="inlineStr">
        <is>
          <t>Above market / At market / Below market.</t>
        </is>
      </c>
      <c r="L83" s="24" t="inlineStr">
        <is>
          <t>Existing (QA doc)</t>
        </is>
      </c>
      <c r="M83" s="27" t="inlineStr">
        <is>
          <t>Not Run</t>
        </is>
      </c>
      <c r="N83" s="27" t="n"/>
      <c r="O83" s="27" t="n"/>
      <c r="P83" s="27" t="n"/>
      <c r="Q83" s="24" t="n"/>
    </row>
    <row r="84" ht="15" customHeight="1" s="18">
      <c r="A84" s="23" t="inlineStr">
        <is>
          <t>TC-FAIR-002</t>
        </is>
      </c>
      <c r="B84" s="24" t="inlineStr">
        <is>
          <t>UC-25</t>
        </is>
      </c>
      <c r="C84" s="24" t="inlineStr">
        <is>
          <t>FR-010</t>
        </is>
      </c>
      <c r="D84" s="24" t="inlineStr">
        <is>
          <t>Trust &amp; Fairness Score</t>
        </is>
      </c>
      <c r="E84" s="24" t="inlineStr">
        <is>
          <t>Insufficient data</t>
        </is>
      </c>
      <c r="F84" s="24" t="inlineStr">
        <is>
          <t>Unit</t>
        </is>
      </c>
      <c r="G84" s="24" t="inlineStr">
        <is>
          <t>High</t>
        </is>
      </c>
      <c r="H84" s="24" t="inlineStr">
        <is>
          <t>No comparables</t>
        </is>
      </c>
      <c r="I84" s="24" t="inlineStr">
        <is>
          <t>1. Recompute.</t>
        </is>
      </c>
      <c r="J84" s="24" t="inlineStr">
        <is>
          <t>Isolated listing</t>
        </is>
      </c>
      <c r="K84" s="24" t="inlineStr">
        <is>
          <t>'Insufficient data'.</t>
        </is>
      </c>
      <c r="L84" s="24" t="inlineStr">
        <is>
          <t>Existing (QA doc)</t>
        </is>
      </c>
      <c r="M84" s="27" t="inlineStr">
        <is>
          <t>Not Run</t>
        </is>
      </c>
      <c r="N84" s="27" t="n"/>
      <c r="O84" s="27" t="n"/>
      <c r="P84" s="27" t="n"/>
      <c r="Q84" s="24" t="n"/>
    </row>
    <row r="85" ht="22.35" customHeight="1" s="18">
      <c r="A85" s="23" t="inlineStr">
        <is>
          <t>TC-FAIR-003</t>
        </is>
      </c>
      <c r="B85" s="24" t="inlineStr">
        <is>
          <t>UC-26</t>
        </is>
      </c>
      <c r="C85" s="24" t="inlineStr">
        <is>
          <t>FR-011</t>
        </is>
      </c>
      <c r="D85" s="24" t="inlineStr">
        <is>
          <t>Trust &amp; Fairness Score</t>
        </is>
      </c>
      <c r="E85" s="24" t="inlineStr">
        <is>
          <t>Self-booking pattern flagged</t>
        </is>
      </c>
      <c r="F85" s="24" t="inlineStr">
        <is>
          <t>Integration</t>
        </is>
      </c>
      <c r="G85" s="24" t="inlineStr">
        <is>
          <t>High</t>
        </is>
      </c>
      <c r="H85" s="24" t="inlineStr">
        <is>
          <t>3 completed in 30 days, same pair</t>
        </is>
      </c>
      <c r="I85" s="24" t="inlineStr">
        <is>
          <t>1. Run workflow.</t>
        </is>
      </c>
      <c r="J85" s="24" t="inlineStr">
        <is>
          <t>Synthetic</t>
        </is>
      </c>
      <c r="K85" s="24" t="inlineStr">
        <is>
          <t>manualReviewRequired=true; selfBookingPatternCount=3.</t>
        </is>
      </c>
      <c r="L85" s="24" t="inlineStr">
        <is>
          <t>Existing (QA doc)</t>
        </is>
      </c>
      <c r="M85" s="27" t="inlineStr">
        <is>
          <t>Not Run</t>
        </is>
      </c>
      <c r="N85" s="27" t="n"/>
      <c r="O85" s="27" t="n"/>
      <c r="P85" s="27" t="n"/>
      <c r="Q85" s="24" t="n"/>
    </row>
    <row r="86" ht="15" customHeight="1" s="18">
      <c r="A86" s="23" t="inlineStr">
        <is>
          <t>TC-FAIR-004</t>
        </is>
      </c>
      <c r="B86" s="24" t="inlineStr">
        <is>
          <t>UC-25</t>
        </is>
      </c>
      <c r="C86" s="24" t="inlineStr">
        <is>
          <t>FR-010</t>
        </is>
      </c>
      <c r="D86" s="24" t="inlineStr">
        <is>
          <t>Trust &amp; Fairness Score</t>
        </is>
      </c>
      <c r="E86" s="24" t="inlineStr">
        <is>
          <t>±15% threshold boundaries</t>
        </is>
      </c>
      <c r="F86" s="24" t="inlineStr">
        <is>
          <t>Boundary</t>
        </is>
      </c>
      <c r="G86" s="24" t="inlineStr">
        <is>
          <t>Medium</t>
        </is>
      </c>
      <c r="H86" s="24" t="inlineStr">
        <is>
          <t>Comparables</t>
        </is>
      </c>
      <c r="I86" s="24" t="inlineStr">
        <is>
          <t>1. Compute at +15%, +15.1%, -15%, -15.1%.</t>
        </is>
      </c>
      <c r="J86" s="24" t="inlineStr">
        <is>
          <t>-</t>
        </is>
      </c>
      <c r="K86" s="24" t="inlineStr">
        <is>
          <t>±15% = At market; beyond = Above/Below.</t>
        </is>
      </c>
      <c r="L86" s="24" t="inlineStr">
        <is>
          <t>New</t>
        </is>
      </c>
      <c r="M86" s="27" t="inlineStr">
        <is>
          <t>Not Run</t>
        </is>
      </c>
      <c r="N86" s="27" t="n"/>
      <c r="O86" s="27" t="n"/>
      <c r="P86" s="27" t="n"/>
      <c r="Q86" s="24" t="n"/>
    </row>
    <row r="87" ht="15" customHeight="1" s="18">
      <c r="A87" s="23" t="inlineStr">
        <is>
          <t>TC-FAIR-005</t>
        </is>
      </c>
      <c r="B87" s="24" t="inlineStr">
        <is>
          <t>UC-25</t>
        </is>
      </c>
      <c r="C87" s="24" t="inlineStr">
        <is>
          <t>FR-010</t>
        </is>
      </c>
      <c r="D87" s="24" t="inlineStr">
        <is>
          <t>Trust &amp; Fairness Score</t>
        </is>
      </c>
      <c r="E87" s="24" t="inlineStr">
        <is>
          <t>20% size band filter</t>
        </is>
      </c>
      <c r="F87" s="24" t="inlineStr">
        <is>
          <t>Unit</t>
        </is>
      </c>
      <c r="G87" s="24" t="inlineStr">
        <is>
          <t>Medium</t>
        </is>
      </c>
      <c r="H87" s="24" t="inlineStr">
        <is>
          <t>Comparables of varied size</t>
        </is>
      </c>
      <c r="I87" s="24" t="inlineStr">
        <is>
          <t>1. Include 25% larger listing.</t>
        </is>
      </c>
      <c r="J87" s="24" t="inlineStr">
        <is>
          <t>-</t>
        </is>
      </c>
      <c r="K87" s="24" t="inlineStr">
        <is>
          <t>Excluded from median.</t>
        </is>
      </c>
      <c r="L87" s="24" t="inlineStr">
        <is>
          <t>New</t>
        </is>
      </c>
      <c r="M87" s="27" t="inlineStr">
        <is>
          <t>Not Run</t>
        </is>
      </c>
      <c r="N87" s="27" t="n"/>
      <c r="O87" s="27" t="n"/>
      <c r="P87" s="27" t="n"/>
      <c r="Q87" s="24" t="n"/>
    </row>
    <row r="88" ht="22.35" customHeight="1" s="18">
      <c r="A88" s="23" t="inlineStr">
        <is>
          <t>TC-FAIR-006</t>
        </is>
      </c>
      <c r="B88" s="24" t="inlineStr">
        <is>
          <t>UC-26</t>
        </is>
      </c>
      <c r="C88" s="24" t="inlineStr">
        <is>
          <t>FR-011</t>
        </is>
      </c>
      <c r="D88" s="24" t="inlineStr">
        <is>
          <t>Trust &amp; Fairness Score</t>
        </is>
      </c>
      <c r="E88" s="24" t="inlineStr">
        <is>
          <t>No flag below threshold</t>
        </is>
      </c>
      <c r="F88" s="24" t="inlineStr">
        <is>
          <t>Unit</t>
        </is>
      </c>
      <c r="G88" s="24" t="inlineStr">
        <is>
          <t>Medium</t>
        </is>
      </c>
      <c r="H88" s="24" t="inlineStr">
        <is>
          <t>2 bookings in 30 days, or 3 over 45 days</t>
        </is>
      </c>
      <c r="I88" s="24" t="inlineStr">
        <is>
          <t>1. Recompute.</t>
        </is>
      </c>
      <c r="J88" s="24" t="inlineStr">
        <is>
          <t>-</t>
        </is>
      </c>
      <c r="K88" s="24" t="inlineStr">
        <is>
          <t>manualReviewRequired=false.</t>
        </is>
      </c>
      <c r="L88" s="24" t="inlineStr">
        <is>
          <t>New</t>
        </is>
      </c>
      <c r="M88" s="27" t="inlineStr">
        <is>
          <t>Not Run</t>
        </is>
      </c>
      <c r="N88" s="27" t="n"/>
      <c r="O88" s="27" t="n"/>
      <c r="P88" s="27" t="n"/>
      <c r="Q88" s="24" t="n"/>
    </row>
    <row r="89" ht="22.35" customHeight="1" s="18">
      <c r="A89" s="23" t="inlineStr">
        <is>
          <t>TC-DASH-001</t>
        </is>
      </c>
      <c r="B89" s="24" t="inlineStr">
        <is>
          <t>UC-27</t>
        </is>
      </c>
      <c r="C89" s="24" t="inlineStr">
        <is>
          <t>FR-012</t>
        </is>
      </c>
      <c r="D89" s="24" t="inlineStr">
        <is>
          <t>Owner Dashboard &amp; My Listings</t>
        </is>
      </c>
      <c r="E89" s="24" t="inlineStr">
        <is>
          <t>Dashboard counts match Firestore</t>
        </is>
      </c>
      <c r="F89" s="24" t="inlineStr">
        <is>
          <t>Functional</t>
        </is>
      </c>
      <c r="G89" s="24" t="inlineStr">
        <is>
          <t>Low</t>
        </is>
      </c>
      <c r="H89" s="24" t="inlineStr">
        <is>
          <t>Seeded owner</t>
        </is>
      </c>
      <c r="I89" s="24" t="inlineStr">
        <is>
          <t>1. Open My Dashboard at 390 px.</t>
        </is>
      </c>
      <c r="J89" s="24" t="inlineStr">
        <is>
          <t>Seeded</t>
        </is>
      </c>
      <c r="K89" s="24" t="inlineStr">
        <is>
          <t>Counts match.</t>
        </is>
      </c>
      <c r="L89" s="24" t="inlineStr">
        <is>
          <t>Existing (QA doc)</t>
        </is>
      </c>
      <c r="M89" s="27" t="inlineStr">
        <is>
          <t>Not Run</t>
        </is>
      </c>
      <c r="N89" s="27" t="n"/>
      <c r="O89" s="27" t="n"/>
      <c r="P89" s="27" t="n"/>
      <c r="Q89" s="24" t="n"/>
    </row>
    <row r="90" ht="22.35" customHeight="1" s="18">
      <c r="A90" s="23" t="inlineStr">
        <is>
          <t>TC-DASH-002</t>
        </is>
      </c>
      <c r="B90" s="24" t="inlineStr">
        <is>
          <t>UC-27</t>
        </is>
      </c>
      <c r="C90" s="24" t="inlineStr">
        <is>
          <t>FR-012</t>
        </is>
      </c>
      <c r="D90" s="24" t="inlineStr">
        <is>
          <t>Owner Dashboard &amp; My Listings</t>
        </is>
      </c>
      <c r="E90" s="24" t="inlineStr">
        <is>
          <t>New user dashboard</t>
        </is>
      </c>
      <c r="F90" s="24" t="inlineStr">
        <is>
          <t>UI</t>
        </is>
      </c>
      <c r="G90" s="24" t="inlineStr">
        <is>
          <t>Low</t>
        </is>
      </c>
      <c r="H90" s="24" t="inlineStr">
        <is>
          <t>New account</t>
        </is>
      </c>
      <c r="I90" s="24" t="inlineStr">
        <is>
          <t>1. Open dashboard.</t>
        </is>
      </c>
      <c r="J90" s="24" t="inlineStr">
        <is>
          <t>-</t>
        </is>
      </c>
      <c r="K90" s="24" t="inlineStr">
        <is>
          <t>Zeros/empty state with CTA.</t>
        </is>
      </c>
      <c r="L90" s="24" t="inlineStr">
        <is>
          <t>New</t>
        </is>
      </c>
      <c r="M90" s="27" t="inlineStr">
        <is>
          <t>Not Run</t>
        </is>
      </c>
      <c r="N90" s="27" t="n"/>
      <c r="O90" s="27" t="n"/>
      <c r="P90" s="27" t="n"/>
      <c r="Q90" s="24" t="n"/>
    </row>
    <row r="91" ht="22.35" customHeight="1" s="18">
      <c r="A91" s="23" t="inlineStr">
        <is>
          <t>TC-MYL-001</t>
        </is>
      </c>
      <c r="B91" s="24" t="inlineStr">
        <is>
          <t>UC-09</t>
        </is>
      </c>
      <c r="C91" s="24" t="inlineStr">
        <is>
          <t>FR-023</t>
        </is>
      </c>
      <c r="D91" s="24" t="inlineStr">
        <is>
          <t>Owner Dashboard &amp; My Listings</t>
        </is>
      </c>
      <c r="E91" s="24" t="inlineStr">
        <is>
          <t>Listing cards show key details</t>
        </is>
      </c>
      <c r="F91" s="24" t="inlineStr">
        <is>
          <t>Functional</t>
        </is>
      </c>
      <c r="G91" s="24" t="inlineStr">
        <is>
          <t>Medium</t>
        </is>
      </c>
      <c r="H91" s="24" t="inlineStr">
        <is>
          <t>Owner with multiple listings</t>
        </is>
      </c>
      <c r="I91" s="24" t="inlineStr">
        <is>
          <t>1. Open My Listings.</t>
        </is>
      </c>
      <c r="J91" s="24" t="inlineStr">
        <is>
          <t>Mixed statuses</t>
        </is>
      </c>
      <c r="K91" s="24" t="inlineStr">
        <is>
          <t>Photo, city, type, bedrooms, price, status, review note, View/Edit on each card.</t>
        </is>
      </c>
      <c r="L91" s="24" t="inlineStr">
        <is>
          <t>New</t>
        </is>
      </c>
      <c r="M91" s="27" t="inlineStr">
        <is>
          <t>Not Run</t>
        </is>
      </c>
      <c r="N91" s="27" t="n"/>
      <c r="O91" s="27" t="n"/>
      <c r="P91" s="27" t="n"/>
      <c r="Q91" s="24" t="n"/>
    </row>
    <row r="92" ht="22.35" customHeight="1" s="18">
      <c r="A92" s="23" t="inlineStr">
        <is>
          <t>TC-MYL-002</t>
        </is>
      </c>
      <c r="B92" s="24" t="inlineStr">
        <is>
          <t>UC-09</t>
        </is>
      </c>
      <c r="C92" s="24" t="inlineStr">
        <is>
          <t>FR-023</t>
        </is>
      </c>
      <c r="D92" s="24" t="inlineStr">
        <is>
          <t>Owner Dashboard &amp; My Listings</t>
        </is>
      </c>
      <c r="E92" s="24" t="inlineStr">
        <is>
          <t>Per-listing pending counts</t>
        </is>
      </c>
      <c r="F92" s="24" t="inlineStr">
        <is>
          <t>Functional</t>
        </is>
      </c>
      <c r="G92" s="24" t="inlineStr">
        <is>
          <t>Medium</t>
        </is>
      </c>
      <c r="H92" s="24" t="inlineStr">
        <is>
          <t>Listings with 0 and 2 pending</t>
        </is>
      </c>
      <c r="I92" s="24" t="inlineStr">
        <is>
          <t>1. Open My Listings.</t>
        </is>
      </c>
      <c r="J92" s="24" t="inlineStr">
        <is>
          <t>-</t>
        </is>
      </c>
      <c r="K92" s="24" t="inlineStr">
        <is>
          <t>Correct counts per listing.</t>
        </is>
      </c>
      <c r="L92" s="24" t="inlineStr">
        <is>
          <t>New</t>
        </is>
      </c>
      <c r="M92" s="27" t="inlineStr">
        <is>
          <t>Not Run</t>
        </is>
      </c>
      <c r="N92" s="27" t="n"/>
      <c r="O92" s="27" t="n"/>
      <c r="P92" s="27" t="n"/>
      <c r="Q92" s="24" t="n"/>
    </row>
    <row r="93" ht="22.35" customHeight="1" s="18">
      <c r="A93" s="23" t="inlineStr">
        <is>
          <t>TC-MYL-003</t>
        </is>
      </c>
      <c r="B93" s="24" t="inlineStr">
        <is>
          <t>UC-09</t>
        </is>
      </c>
      <c r="C93" s="24" t="inlineStr">
        <is>
          <t>FR-023</t>
        </is>
      </c>
      <c r="D93" s="24" t="inlineStr">
        <is>
          <t>Owner Dashboard &amp; My Listings</t>
        </is>
      </c>
      <c r="E93" s="24" t="inlineStr">
        <is>
          <t>Count load failure is not zero</t>
        </is>
      </c>
      <c r="F93" s="24" t="inlineStr">
        <is>
          <t>Negative</t>
        </is>
      </c>
      <c r="G93" s="24" t="inlineStr">
        <is>
          <t>Medium</t>
        </is>
      </c>
      <c r="H93" s="24" t="inlineStr">
        <is>
          <t>Owner</t>
        </is>
      </c>
      <c r="I93" s="24" t="inlineStr">
        <is>
          <t>1. Block bookings query. 2. Open My Listings.</t>
        </is>
      </c>
      <c r="J93" s="24" t="inlineStr">
        <is>
          <t>DevTools</t>
        </is>
      </c>
      <c r="K93" s="24" t="inlineStr">
        <is>
          <t>'Unavailable' state, not 0.</t>
        </is>
      </c>
      <c r="L93" s="24" t="inlineStr">
        <is>
          <t>New</t>
        </is>
      </c>
      <c r="M93" s="27" t="inlineStr">
        <is>
          <t>Not Run</t>
        </is>
      </c>
      <c r="N93" s="27" t="n"/>
      <c r="O93" s="27" t="n"/>
      <c r="P93" s="27" t="n"/>
      <c r="Q93" s="24" t="n"/>
    </row>
    <row r="94" ht="22.35" customHeight="1" s="18">
      <c r="A94" s="23" t="inlineStr">
        <is>
          <t>TC-MYL-004</t>
        </is>
      </c>
      <c r="B94" s="24" t="inlineStr">
        <is>
          <t>UC-09</t>
        </is>
      </c>
      <c r="C94" s="24" t="inlineStr">
        <is>
          <t>FR-023</t>
        </is>
      </c>
      <c r="D94" s="24" t="inlineStr">
        <is>
          <t>Owner Dashboard &amp; My Listings</t>
        </is>
      </c>
      <c r="E94" s="24" t="inlineStr">
        <is>
          <t>Request link filters by listing</t>
        </is>
      </c>
      <c r="F94" s="24" t="inlineStr">
        <is>
          <t>Functional</t>
        </is>
      </c>
      <c r="G94" s="24" t="inlineStr">
        <is>
          <t>Medium</t>
        </is>
      </c>
      <c r="H94" s="24" t="inlineStr">
        <is>
          <t>Listing with requests</t>
        </is>
      </c>
      <c r="I94" s="24" t="inlineStr">
        <is>
          <t>1. Tap request count. 2. Tap 'all requests'.</t>
        </is>
      </c>
      <c r="J94" s="24" t="inlineStr">
        <is>
          <t>-</t>
        </is>
      </c>
      <c r="K94" s="24" t="inlineStr">
        <is>
          <t>Booking Requests tab filtered; back link shows all.</t>
        </is>
      </c>
      <c r="L94" s="24" t="inlineStr">
        <is>
          <t>New</t>
        </is>
      </c>
      <c r="M94" s="27" t="inlineStr">
        <is>
          <t>Not Run</t>
        </is>
      </c>
      <c r="N94" s="27" t="n"/>
      <c r="O94" s="27" t="n"/>
      <c r="P94" s="27" t="n"/>
      <c r="Q94" s="24" t="n"/>
    </row>
    <row r="95" ht="22.35" customHeight="1" s="18">
      <c r="A95" s="23" t="inlineStr">
        <is>
          <t>TC-MYL-005</t>
        </is>
      </c>
      <c r="B95" s="24" t="inlineStr">
        <is>
          <t>UC-09</t>
        </is>
      </c>
      <c r="C95" s="24" t="inlineStr">
        <is>
          <t>FR-023</t>
        </is>
      </c>
      <c r="D95" s="24" t="inlineStr">
        <is>
          <t>Owner Dashboard &amp; My Listings</t>
        </is>
      </c>
      <c r="E95" s="24" t="inlineStr">
        <is>
          <t>Private data excluded</t>
        </is>
      </c>
      <c r="F95" s="24" t="inlineStr">
        <is>
          <t>Security</t>
        </is>
      </c>
      <c r="G95" s="24" t="inlineStr">
        <is>
          <t>High</t>
        </is>
      </c>
      <c r="H95" s="24" t="inlineStr">
        <is>
          <t>Owner</t>
        </is>
      </c>
      <c r="I95" s="24" t="inlineStr">
        <is>
          <t>1. Inspect My Listings.</t>
        </is>
      </c>
      <c r="J95" s="24" t="inlineStr">
        <is>
          <t>-</t>
        </is>
      </c>
      <c r="K95" s="24" t="inlineStr">
        <is>
          <t>No exact address or document URLs on cards.</t>
        </is>
      </c>
      <c r="L95" s="24" t="inlineStr">
        <is>
          <t>New</t>
        </is>
      </c>
      <c r="M95" s="27" t="inlineStr">
        <is>
          <t>Not Run</t>
        </is>
      </c>
      <c r="N95" s="27" t="n"/>
      <c r="O95" s="27" t="n"/>
      <c r="P95" s="27" t="n"/>
      <c r="Q95" s="24" t="n"/>
    </row>
    <row r="96" ht="22.35" customHeight="1" s="18">
      <c r="A96" s="23" t="inlineStr">
        <is>
          <t>TC-MYL-006</t>
        </is>
      </c>
      <c r="B96" s="24" t="inlineStr">
        <is>
          <t>UC-09</t>
        </is>
      </c>
      <c r="C96" s="24" t="inlineStr">
        <is>
          <t>FR-023</t>
        </is>
      </c>
      <c r="D96" s="24" t="inlineStr">
        <is>
          <t>Owner Dashboard &amp; My Listings</t>
        </is>
      </c>
      <c r="E96" s="24" t="inlineStr">
        <is>
          <t>Narrow viewport layout</t>
        </is>
      </c>
      <c r="F96" s="24" t="inlineStr">
        <is>
          <t>UI</t>
        </is>
      </c>
      <c r="G96" s="24" t="inlineStr">
        <is>
          <t>Low</t>
        </is>
      </c>
      <c r="H96" s="24" t="inlineStr">
        <is>
          <t>Owner</t>
        </is>
      </c>
      <c r="I96" s="24" t="inlineStr">
        <is>
          <t>1. View at 360/390 px.</t>
        </is>
      </c>
      <c r="J96" s="24" t="inlineStr">
        <is>
          <t>-</t>
        </is>
      </c>
      <c r="K96" s="24" t="inlineStr">
        <is>
          <t>Cards readable, no overflow.</t>
        </is>
      </c>
      <c r="L96" s="24" t="inlineStr">
        <is>
          <t>New</t>
        </is>
      </c>
      <c r="M96" s="27" t="inlineStr">
        <is>
          <t>Not Run</t>
        </is>
      </c>
      <c r="N96" s="27" t="n"/>
      <c r="O96" s="27" t="n"/>
      <c r="P96" s="27" t="n"/>
      <c r="Q96" s="24" t="n"/>
    </row>
    <row r="97" ht="15" customHeight="1" s="18">
      <c r="A97" s="23" t="inlineStr">
        <is>
          <t>TC-NOTIF-001</t>
        </is>
      </c>
      <c r="B97" s="24" t="inlineStr">
        <is>
          <t>UC-28</t>
        </is>
      </c>
      <c r="C97" s="24" t="inlineStr">
        <is>
          <t>FR-013</t>
        </is>
      </c>
      <c r="D97" s="24" t="inlineStr">
        <is>
          <t>Notifications</t>
        </is>
      </c>
      <c r="E97" s="24" t="inlineStr">
        <is>
          <t>Owner notified of booking request</t>
        </is>
      </c>
      <c r="F97" s="24" t="inlineStr">
        <is>
          <t>Functional</t>
        </is>
      </c>
      <c r="G97" s="24" t="inlineStr">
        <is>
          <t>High</t>
        </is>
      </c>
      <c r="H97" s="24" t="inlineStr">
        <is>
          <t>Renter + owner</t>
        </is>
      </c>
      <c r="I97" s="24" t="inlineStr">
        <is>
          <t>1. Renter requests. 2. Owner opens bell. 3. Mark read.</t>
        </is>
      </c>
      <c r="J97" s="24" t="inlineStr">
        <is>
          <t>-</t>
        </is>
      </c>
      <c r="K97" s="24" t="inlineStr">
        <is>
          <t>Unread notification; count clears.</t>
        </is>
      </c>
      <c r="L97" s="24" t="inlineStr">
        <is>
          <t>Existing (QA doc)</t>
        </is>
      </c>
      <c r="M97" s="27" t="inlineStr">
        <is>
          <t>Not Run</t>
        </is>
      </c>
      <c r="N97" s="27" t="n"/>
      <c r="O97" s="27" t="n"/>
      <c r="P97" s="27" t="n"/>
      <c r="Q97" s="24" t="inlineStr">
        <is>
          <t>Unblocked 2026-10-01: rules deployed to trusthome-ph (commit a1fe48e). Run on the live test project.</t>
        </is>
      </c>
    </row>
    <row r="98" ht="15" customHeight="1" s="18">
      <c r="A98" s="23" t="inlineStr">
        <is>
          <t>TC-NOTIF-002</t>
        </is>
      </c>
      <c r="B98" s="24" t="inlineStr">
        <is>
          <t>UC-28</t>
        </is>
      </c>
      <c r="C98" s="24" t="inlineStr">
        <is>
          <t>FR-013</t>
        </is>
      </c>
      <c r="D98" s="24" t="inlineStr">
        <is>
          <t>Notifications</t>
        </is>
      </c>
      <c r="E98" s="24" t="inlineStr">
        <is>
          <t>Renter notified of confirmation</t>
        </is>
      </c>
      <c r="F98" s="24" t="inlineStr">
        <is>
          <t>Functional</t>
        </is>
      </c>
      <c r="G98" s="24" t="inlineStr">
        <is>
          <t>High</t>
        </is>
      </c>
      <c r="H98" s="24" t="inlineStr">
        <is>
          <t>Renter + owner</t>
        </is>
      </c>
      <c r="I98" s="24" t="inlineStr">
        <is>
          <t>1. Owner confirms. 2. Renter checks bell.</t>
        </is>
      </c>
      <c r="J98" s="24" t="inlineStr">
        <is>
          <t>-</t>
        </is>
      </c>
      <c r="K98" s="24" t="inlineStr">
        <is>
          <t>Confirmation notification received.</t>
        </is>
      </c>
      <c r="L98" s="24" t="inlineStr">
        <is>
          <t>Existing (QA doc)</t>
        </is>
      </c>
      <c r="M98" s="27" t="inlineStr">
        <is>
          <t>Blocked</t>
        </is>
      </c>
      <c r="N98" s="27" t="n"/>
      <c r="O98" s="27" t="n"/>
      <c r="P98" s="27" t="n"/>
      <c r="Q98" s="24" t="inlineStr">
        <is>
          <t>Needs booking confirmation on live app: blocked by F-05 until the trusted API is deployed (v1.4). See TC-API-004.</t>
        </is>
      </c>
    </row>
    <row r="99" ht="22.35" customHeight="1" s="18">
      <c r="A99" s="23" t="inlineStr">
        <is>
          <t>TC-NOTIF-003</t>
        </is>
      </c>
      <c r="B99" s="24" t="inlineStr">
        <is>
          <t>UC-29</t>
        </is>
      </c>
      <c r="C99" s="24" t="inlineStr">
        <is>
          <t>FR-013</t>
        </is>
      </c>
      <c r="D99" s="24" t="inlineStr">
        <is>
          <t>Notifications</t>
        </is>
      </c>
      <c r="E99" s="24" t="inlineStr">
        <is>
          <t>Dispute notifications</t>
        </is>
      </c>
      <c r="F99" s="24" t="inlineStr">
        <is>
          <t>Functional</t>
        </is>
      </c>
      <c r="G99" s="24" t="inlineStr">
        <is>
          <t>High</t>
        </is>
      </c>
      <c r="H99" s="24" t="inlineStr">
        <is>
          <t>Renter + admin</t>
        </is>
      </c>
      <c r="I99" s="24" t="inlineStr">
        <is>
          <t>1. Raise dispute. 2. Admin resolves.</t>
        </is>
      </c>
      <c r="J99" s="24" t="inlineStr">
        <is>
          <t>-</t>
        </is>
      </c>
      <c r="K99" s="24" t="inlineStr">
        <is>
          <t>Admins notified on submission; reporter on resolution; owner notified of listing decisions.</t>
        </is>
      </c>
      <c r="L99" s="24" t="inlineStr">
        <is>
          <t>Existing (QA doc)</t>
        </is>
      </c>
      <c r="M99" s="27" t="inlineStr">
        <is>
          <t>Not Run</t>
        </is>
      </c>
      <c r="N99" s="27" t="n"/>
      <c r="O99" s="27" t="n"/>
      <c r="P99" s="27" t="n"/>
      <c r="Q99" s="24" t="inlineStr">
        <is>
          <t>Unblocked 2026-10-01: rules deployed to trusthome-ph (commit a1fe48e). Run on the live test project.</t>
        </is>
      </c>
    </row>
    <row r="100" ht="15" customHeight="1" s="18">
      <c r="A100" s="23" t="inlineStr">
        <is>
          <t>TC-NOTIF-004</t>
        </is>
      </c>
      <c r="B100" s="24" t="inlineStr">
        <is>
          <t>UC-41</t>
        </is>
      </c>
      <c r="C100" s="24" t="inlineStr">
        <is>
          <t>FR-013</t>
        </is>
      </c>
      <c r="D100" s="24" t="inlineStr">
        <is>
          <t>Notifications</t>
        </is>
      </c>
      <c r="E100" s="24" t="inlineStr">
        <is>
          <t>Cross-user notification access</t>
        </is>
      </c>
      <c r="F100" s="24" t="inlineStr">
        <is>
          <t>Security</t>
        </is>
      </c>
      <c r="G100" s="24" t="inlineStr">
        <is>
          <t>High</t>
        </is>
      </c>
      <c r="H100" s="24" t="inlineStr">
        <is>
          <t>Two users</t>
        </is>
      </c>
      <c r="I100" s="24" t="inlineStr">
        <is>
          <t>1. As A read/create B's notifications.</t>
        </is>
      </c>
      <c r="J100" s="24" t="inlineStr">
        <is>
          <t>-</t>
        </is>
      </c>
      <c r="K100" s="24" t="inlineStr">
        <is>
          <t>Denied.</t>
        </is>
      </c>
      <c r="L100" s="24" t="inlineStr">
        <is>
          <t>Existing (QA doc)</t>
        </is>
      </c>
      <c r="M100" s="27" t="inlineStr">
        <is>
          <t>Not Run</t>
        </is>
      </c>
      <c r="N100" s="27" t="n"/>
      <c r="O100" s="27" t="n"/>
      <c r="P100" s="27" t="n"/>
      <c r="Q100" s="24" t="inlineStr">
        <is>
          <t>Unblocked 2026-10-01: rules deployed to trusthome-ph (commit a1fe48e). Run on the live test project.</t>
        </is>
      </c>
    </row>
    <row r="101" ht="22.35" customHeight="1" s="18">
      <c r="A101" s="23" t="inlineStr">
        <is>
          <t>TC-NOTIF-005</t>
        </is>
      </c>
      <c r="B101" s="24" t="inlineStr">
        <is>
          <t>UC-29</t>
        </is>
      </c>
      <c r="C101" s="24" t="inlineStr">
        <is>
          <t>FR-020</t>
        </is>
      </c>
      <c r="D101" s="24" t="inlineStr">
        <is>
          <t>Notifications</t>
        </is>
      </c>
      <c r="E101" s="24" t="inlineStr">
        <is>
          <t>Admin feed contains disputes only</t>
        </is>
      </c>
      <c r="F101" s="24" t="inlineStr">
        <is>
          <t>Functional</t>
        </is>
      </c>
      <c r="G101" s="24" t="inlineStr">
        <is>
          <t>High</t>
        </is>
      </c>
      <c r="H101" s="24" t="inlineStr">
        <is>
          <t>Admin who also owns listings</t>
        </is>
      </c>
      <c r="I101" s="24" t="inlineStr">
        <is>
          <t>1. Create booking request on admin's listing and a dispute. 2. Open admin bell.</t>
        </is>
      </c>
      <c r="J101" s="24" t="inlineStr">
        <is>
          <t>-</t>
        </is>
      </c>
      <c r="K101" s="24" t="inlineStr">
        <is>
          <t>Admin bell/inbox under /admin shows dispute only; booking request appears in admin's personal user feed.</t>
        </is>
      </c>
      <c r="L101" s="24" t="inlineStr">
        <is>
          <t>New</t>
        </is>
      </c>
      <c r="M101" s="27" t="inlineStr">
        <is>
          <t>Not Run</t>
        </is>
      </c>
      <c r="N101" s="27" t="n"/>
      <c r="O101" s="27" t="n"/>
      <c r="P101" s="27" t="n"/>
      <c r="Q101" s="24" t="inlineStr">
        <is>
          <t>P0 notification split.</t>
        </is>
      </c>
    </row>
    <row r="102" ht="22.35" customHeight="1" s="18">
      <c r="A102" s="23" t="inlineStr">
        <is>
          <t>TC-NOTIF-006</t>
        </is>
      </c>
      <c r="B102" s="24" t="inlineStr">
        <is>
          <t>UC-29</t>
        </is>
      </c>
      <c r="C102" s="24" t="inlineStr">
        <is>
          <t>FR-020</t>
        </is>
      </c>
      <c r="D102" s="24" t="inlineStr">
        <is>
          <t>Notifications</t>
        </is>
      </c>
      <c r="E102" s="24" t="inlineStr">
        <is>
          <t>No booking-request broadcast to __admins__</t>
        </is>
      </c>
      <c r="F102" s="24" t="inlineStr">
        <is>
          <t>Security</t>
        </is>
      </c>
      <c r="G102" s="24" t="inlineStr">
        <is>
          <t>High</t>
        </is>
      </c>
      <c r="H102" s="24" t="inlineStr">
        <is>
          <t>Regular user</t>
        </is>
      </c>
      <c r="I102" s="24" t="inlineStr">
        <is>
          <t>1. Direct create notification to __admins__ with type booking-request.</t>
        </is>
      </c>
      <c r="J102" s="24" t="inlineStr">
        <is>
          <t>-</t>
        </is>
      </c>
      <c r="K102" s="24" t="inlineStr">
        <is>
          <t>Denied.</t>
        </is>
      </c>
      <c r="L102" s="24" t="inlineStr">
        <is>
          <t>New</t>
        </is>
      </c>
      <c r="M102" s="27" t="inlineStr">
        <is>
          <t>Not Run</t>
        </is>
      </c>
      <c r="N102" s="27" t="n"/>
      <c r="O102" s="27" t="n"/>
      <c r="P102" s="27" t="n"/>
      <c r="Q102" s="24" t="inlineStr">
        <is>
          <t>Unblocked 2026-10-01: rules deployed to trusthome-ph (commit a1fe48e). Run on the live test project.</t>
        </is>
      </c>
    </row>
    <row r="103" ht="15" customHeight="1" s="18">
      <c r="A103" s="23" t="inlineStr">
        <is>
          <t>TC-NOTIF-007</t>
        </is>
      </c>
      <c r="B103" s="24" t="inlineStr">
        <is>
          <t>UC-29</t>
        </is>
      </c>
      <c r="C103" s="24" t="inlineStr">
        <is>
          <t>FR-020</t>
        </is>
      </c>
      <c r="D103" s="24" t="inlineStr">
        <is>
          <t>Notifications</t>
        </is>
      </c>
      <c r="E103" s="24" t="inlineStr">
        <is>
          <t>Regular user cannot read admin feed</t>
        </is>
      </c>
      <c r="F103" s="24" t="inlineStr">
        <is>
          <t>Security</t>
        </is>
      </c>
      <c r="G103" s="24" t="inlineStr">
        <is>
          <t>High</t>
        </is>
      </c>
      <c r="H103" s="24" t="inlineStr">
        <is>
          <t>Regular user</t>
        </is>
      </c>
      <c r="I103" s="24" t="inlineStr">
        <is>
          <t>1. Query __admins__ notifications.</t>
        </is>
      </c>
      <c r="J103" s="24" t="inlineStr">
        <is>
          <t>-</t>
        </is>
      </c>
      <c r="K103" s="24" t="inlineStr">
        <is>
          <t>Denied.</t>
        </is>
      </c>
      <c r="L103" s="24" t="inlineStr">
        <is>
          <t>New</t>
        </is>
      </c>
      <c r="M103" s="27" t="inlineStr">
        <is>
          <t>Not Run</t>
        </is>
      </c>
      <c r="N103" s="27" t="n"/>
      <c r="O103" s="27" t="n"/>
      <c r="P103" s="27" t="n"/>
      <c r="Q103" s="24" t="inlineStr">
        <is>
          <t>Unblocked 2026-10-01: rules deployed to trusthome-ph (commit a1fe48e). Run on the live test project.</t>
        </is>
      </c>
    </row>
    <row r="104" ht="22.35" customHeight="1" s="18">
      <c r="A104" s="23" t="inlineStr">
        <is>
          <t>TC-NOTIF-008</t>
        </is>
      </c>
      <c r="B104" s="24" t="inlineStr">
        <is>
          <t>UC-29</t>
        </is>
      </c>
      <c r="C104" s="24" t="inlineStr">
        <is>
          <t>FR-020</t>
        </is>
      </c>
      <c r="D104" s="24" t="inlineStr">
        <is>
          <t>Notifications</t>
        </is>
      </c>
      <c r="E104" s="24" t="inlineStr">
        <is>
          <t>Legacy admin booking notices hidden</t>
        </is>
      </c>
      <c r="F104" s="24" t="inlineStr">
        <is>
          <t>Functional</t>
        </is>
      </c>
      <c r="G104" s="24" t="inlineStr">
        <is>
          <t>Medium</t>
        </is>
      </c>
      <c r="H104" s="24" t="inlineStr">
        <is>
          <t>Old booking-request docs in __admins__</t>
        </is>
      </c>
      <c r="I104" s="24" t="inlineStr">
        <is>
          <t>1. Open admin inbox.</t>
        </is>
      </c>
      <c r="J104" s="24" t="inlineStr">
        <is>
          <t>Legacy data</t>
        </is>
      </c>
      <c r="K104" s="24" t="inlineStr">
        <is>
          <t>Filtered out; not readable after rules deploy.</t>
        </is>
      </c>
      <c r="L104" s="24" t="inlineStr">
        <is>
          <t>New</t>
        </is>
      </c>
      <c r="M104" s="27" t="inlineStr">
        <is>
          <t>Not Run</t>
        </is>
      </c>
      <c r="N104" s="27" t="n"/>
      <c r="O104" s="27" t="n"/>
      <c r="P104" s="27" t="n"/>
      <c r="Q104" s="24" t="n"/>
    </row>
    <row r="105" ht="15" customHeight="1" s="18">
      <c r="A105" s="23" t="inlineStr">
        <is>
          <t>TC-NOTIF-009</t>
        </is>
      </c>
      <c r="B105" s="24" t="inlineStr">
        <is>
          <t>UC-29</t>
        </is>
      </c>
      <c r="C105" s="24" t="inlineStr">
        <is>
          <t>FR-020</t>
        </is>
      </c>
      <c r="D105" s="24" t="inlineStr">
        <is>
          <t>Notifications</t>
        </is>
      </c>
      <c r="E105" s="24" t="inlineStr">
        <is>
          <t>Admins cannot create broadcasts</t>
        </is>
      </c>
      <c r="F105" s="24" t="inlineStr">
        <is>
          <t>Security</t>
        </is>
      </c>
      <c r="G105" s="24" t="inlineStr">
        <is>
          <t>Medium</t>
        </is>
      </c>
      <c r="H105" s="24" t="inlineStr">
        <is>
          <t>Admin</t>
        </is>
      </c>
      <c r="I105" s="24" t="inlineStr">
        <is>
          <t>1. Direct create notification to __admins__.</t>
        </is>
      </c>
      <c r="J105" s="24" t="inlineStr">
        <is>
          <t>-</t>
        </is>
      </c>
      <c r="K105" s="24" t="inlineStr">
        <is>
          <t>Denied.</t>
        </is>
      </c>
      <c r="L105" s="24" t="inlineStr">
        <is>
          <t>New</t>
        </is>
      </c>
      <c r="M105" s="27" t="inlineStr">
        <is>
          <t>Not Run</t>
        </is>
      </c>
      <c r="N105" s="27" t="n"/>
      <c r="O105" s="27" t="n"/>
      <c r="P105" s="27" t="n"/>
      <c r="Q105" s="24" t="inlineStr">
        <is>
          <t>Unblocked 2026-10-01: rules deployed to trusthome-ph (commit a1fe48e). Run on the live test project.</t>
        </is>
      </c>
    </row>
    <row r="106" ht="15" customHeight="1" s="18">
      <c r="A106" s="23" t="inlineStr">
        <is>
          <t>TC-NOTIF-010</t>
        </is>
      </c>
      <c r="B106" s="24" t="inlineStr">
        <is>
          <t>UC-28</t>
        </is>
      </c>
      <c r="C106" s="24" t="inlineStr">
        <is>
          <t>FR-013</t>
        </is>
      </c>
      <c r="D106" s="24" t="inlineStr">
        <is>
          <t>Notifications</t>
        </is>
      </c>
      <c r="E106" s="24" t="inlineStr">
        <is>
          <t>Mark all read / empty inbox</t>
        </is>
      </c>
      <c r="F106" s="24" t="inlineStr">
        <is>
          <t>Functional</t>
        </is>
      </c>
      <c r="G106" s="24" t="inlineStr">
        <is>
          <t>Low</t>
        </is>
      </c>
      <c r="H106" s="24" t="inlineStr">
        <is>
          <t>User</t>
        </is>
      </c>
      <c r="I106" s="24" t="inlineStr">
        <is>
          <t>1. Mark all read. 2. New user opens inbox.</t>
        </is>
      </c>
      <c r="J106" s="24" t="inlineStr">
        <is>
          <t>-</t>
        </is>
      </c>
      <c r="K106" s="24" t="inlineStr">
        <is>
          <t>Count 0; empty state shown.</t>
        </is>
      </c>
      <c r="L106" s="24" t="inlineStr">
        <is>
          <t>New</t>
        </is>
      </c>
      <c r="M106" s="27" t="inlineStr">
        <is>
          <t>Not Run</t>
        </is>
      </c>
      <c r="N106" s="27" t="n"/>
      <c r="O106" s="27" t="n"/>
      <c r="P106" s="27" t="n"/>
      <c r="Q106" s="24" t="n"/>
    </row>
    <row r="107" ht="15" customHeight="1" s="18">
      <c r="A107" s="23" t="inlineStr">
        <is>
          <t>TC-NOTIF-011</t>
        </is>
      </c>
      <c r="B107" s="24" t="inlineStr">
        <is>
          <t>UC-28</t>
        </is>
      </c>
      <c r="C107" s="24" t="inlineStr">
        <is>
          <t>FR-013</t>
        </is>
      </c>
      <c r="D107" s="24" t="inlineStr">
        <is>
          <t>Notifications</t>
        </is>
      </c>
      <c r="E107" s="24" t="inlineStr">
        <is>
          <t>Listing decision notification</t>
        </is>
      </c>
      <c r="F107" s="24" t="inlineStr">
        <is>
          <t>Functional</t>
        </is>
      </c>
      <c r="G107" s="24" t="inlineStr">
        <is>
          <t>Medium</t>
        </is>
      </c>
      <c r="H107" s="24" t="inlineStr">
        <is>
          <t>Owner</t>
        </is>
      </c>
      <c r="I107" s="24" t="inlineStr">
        <is>
          <t>1. Admin approves/requests changes/rejects.</t>
        </is>
      </c>
      <c r="J107" s="24" t="inlineStr">
        <is>
          <t>-</t>
        </is>
      </c>
      <c r="K107" s="24" t="inlineStr">
        <is>
          <t>Owner notified for each decision.</t>
        </is>
      </c>
      <c r="L107" s="24" t="inlineStr">
        <is>
          <t>New</t>
        </is>
      </c>
      <c r="M107" s="27" t="inlineStr">
        <is>
          <t>Not Run</t>
        </is>
      </c>
      <c r="N107" s="27" t="n"/>
      <c r="O107" s="27" t="n"/>
      <c r="P107" s="27" t="n"/>
      <c r="Q107" s="24" t="n"/>
    </row>
    <row r="108" ht="15" customHeight="1" s="18">
      <c r="A108" s="23" t="inlineStr">
        <is>
          <t>TC-MAP-001</t>
        </is>
      </c>
      <c r="B108" s="24" t="inlineStr">
        <is>
          <t>UC-08</t>
        </is>
      </c>
      <c r="C108" s="24" t="inlineStr">
        <is>
          <t>FR-022</t>
        </is>
      </c>
      <c r="D108" s="24" t="inlineStr">
        <is>
          <t>Listing Map &amp; Privacy</t>
        </is>
      </c>
      <c r="E108" s="24" t="inlineStr">
        <is>
          <t>Search address and place pin</t>
        </is>
      </c>
      <c r="F108" s="24" t="inlineStr">
        <is>
          <t>Functional</t>
        </is>
      </c>
      <c r="G108" s="24" t="inlineStr">
        <is>
          <t>Medium</t>
        </is>
      </c>
      <c r="H108" s="24" t="inlineStr">
        <is>
          <t>Create/Edit listing</t>
        </is>
      </c>
      <c r="I108" s="24" t="inlineStr">
        <is>
          <t>1. Type 'Santa Rosa, Laguna'. 2. Select result.</t>
        </is>
      </c>
      <c r="J108" s="24" t="inlineStr">
        <is>
          <t>PH address</t>
        </is>
      </c>
      <c r="K108" s="24" t="inlineStr">
        <is>
          <t>Pin placed; attribution shown.</t>
        </is>
      </c>
      <c r="L108" s="24" t="inlineStr">
        <is>
          <t>New</t>
        </is>
      </c>
      <c r="M108" s="27" t="inlineStr">
        <is>
          <t>Not Run</t>
        </is>
      </c>
      <c r="N108" s="27" t="n"/>
      <c r="O108" s="27" t="n"/>
      <c r="P108" s="27" t="n"/>
      <c r="Q108" s="24" t="n"/>
    </row>
    <row r="109" ht="15" customHeight="1" s="18">
      <c r="A109" s="23" t="inlineStr">
        <is>
          <t>TC-MAP-002</t>
        </is>
      </c>
      <c r="B109" s="24" t="inlineStr">
        <is>
          <t>UC-08</t>
        </is>
      </c>
      <c r="C109" s="24" t="inlineStr">
        <is>
          <t>FR-022</t>
        </is>
      </c>
      <c r="D109" s="24" t="inlineStr">
        <is>
          <t>Listing Map &amp; Privacy</t>
        </is>
      </c>
      <c r="E109" s="24" t="inlineStr">
        <is>
          <t>PH-specific geocoder retry</t>
        </is>
      </c>
      <c r="F109" s="24" t="inlineStr">
        <is>
          <t>Functional</t>
        </is>
      </c>
      <c r="G109" s="24" t="inlineStr">
        <is>
          <t>Low</t>
        </is>
      </c>
      <c r="H109" s="24" t="inlineStr">
        <is>
          <t>-</t>
        </is>
      </c>
      <c r="I109" s="24" t="inlineStr">
        <is>
          <t>1. Enter full street address without 'Philippines'.</t>
        </is>
      </c>
      <c r="J109" s="24" t="inlineStr">
        <is>
          <t>Full address</t>
        </is>
      </c>
      <c r="K109" s="24" t="inlineStr">
        <is>
          <t>Resolves via PH retry.</t>
        </is>
      </c>
      <c r="L109" s="24" t="inlineStr">
        <is>
          <t>New</t>
        </is>
      </c>
      <c r="M109" s="27" t="inlineStr">
        <is>
          <t>Not Run</t>
        </is>
      </c>
      <c r="N109" s="27" t="n"/>
      <c r="O109" s="27" t="n"/>
      <c r="P109" s="27" t="n"/>
      <c r="Q109" s="24" t="n"/>
    </row>
    <row r="110" ht="22.35" customHeight="1" s="18">
      <c r="A110" s="23" t="inlineStr">
        <is>
          <t>TC-MAP-003</t>
        </is>
      </c>
      <c r="B110" s="24" t="inlineStr">
        <is>
          <t>UC-08</t>
        </is>
      </c>
      <c r="C110" s="24" t="inlineStr">
        <is>
          <t>FR-022</t>
        </is>
      </c>
      <c r="D110" s="24" t="inlineStr">
        <is>
          <t>Listing Map &amp; Privacy</t>
        </is>
      </c>
      <c r="E110" s="24" t="inlineStr">
        <is>
          <t>'Use my exact address' shortcut renders</t>
        </is>
      </c>
      <c r="F110" s="24" t="inlineStr">
        <is>
          <t>Functional / Regression</t>
        </is>
      </c>
      <c r="G110" s="24" t="inlineStr">
        <is>
          <t>High</t>
        </is>
      </c>
      <c r="H110" s="24" t="inlineStr">
        <is>
          <t>Private address prefilled</t>
        </is>
      </c>
      <c r="I110" s="24" t="inlineStr">
        <is>
          <t>1. Open edit listing with address. 2. Hard reload (clear cache). 3. Check map search box.</t>
        </is>
      </c>
      <c r="J110" s="24" t="inlineStr">
        <is>
          <t>Listing with address</t>
        </is>
      </c>
      <c r="K110" s="24" t="inlineStr">
        <is>
          <t>Button visible; clicking geocodes private address and places pin.</t>
        </is>
      </c>
      <c r="L110" s="24" t="inlineStr">
        <is>
          <t>New</t>
        </is>
      </c>
      <c r="M110" s="27" t="inlineStr">
        <is>
          <t>Passed</t>
        </is>
      </c>
      <c r="N110" s="27" t="inlineStr">
        <is>
          <t>Shortcut visible after a private address was entered (Sep 30 live test).</t>
        </is>
      </c>
      <c r="O110" s="27" t="inlineStr">
        <is>
          <t>Team (Sep 30 run)</t>
        </is>
      </c>
      <c r="P110" s="27" t="inlineStr">
        <is>
          <t>2026-09-30</t>
        </is>
      </c>
      <c r="Q110" s="24" t="inlineStr">
        <is>
          <t>Resolved: earlier browser-visibility bug closed by the Sep 30 live run.</t>
        </is>
      </c>
    </row>
    <row r="111" ht="22.35" customHeight="1" s="18">
      <c r="A111" s="23" t="inlineStr">
        <is>
          <t>TC-MAP-004</t>
        </is>
      </c>
      <c r="B111" s="24" t="inlineStr">
        <is>
          <t>UC-08</t>
        </is>
      </c>
      <c r="C111" s="24" t="inlineStr">
        <is>
          <t>FR-022</t>
        </is>
      </c>
      <c r="D111" s="24" t="inlineStr">
        <is>
          <t>Listing Map &amp; Privacy</t>
        </is>
      </c>
      <c r="E111" s="24" t="inlineStr">
        <is>
          <t>Public doc stores only 5-char geohash</t>
        </is>
      </c>
      <c r="F111" s="24" t="inlineStr">
        <is>
          <t>Security</t>
        </is>
      </c>
      <c r="G111" s="24" t="inlineStr">
        <is>
          <t>High</t>
        </is>
      </c>
      <c r="H111" s="24" t="inlineStr">
        <is>
          <t>Listing with pin</t>
        </is>
      </c>
      <c r="I111" s="24" t="inlineStr">
        <is>
          <t>1. Inspect public listing doc.</t>
        </is>
      </c>
      <c r="J111" s="24" t="inlineStr">
        <is>
          <t>-</t>
        </is>
      </c>
      <c r="K111" s="24" t="inlineStr">
        <is>
          <t>Only geohash (5 chars) + approximate flag; no lat/long, no address.</t>
        </is>
      </c>
      <c r="L111" s="24" t="inlineStr">
        <is>
          <t>New</t>
        </is>
      </c>
      <c r="M111" s="27" t="inlineStr">
        <is>
          <t>Not Run</t>
        </is>
      </c>
      <c r="N111" s="27" t="n"/>
      <c r="O111" s="27" t="n"/>
      <c r="P111" s="27" t="n"/>
      <c r="Q111" s="24" t="n"/>
    </row>
    <row r="112" ht="15" customHeight="1" s="18">
      <c r="A112" s="23" t="inlineStr">
        <is>
          <t>TC-MAP-005</t>
        </is>
      </c>
      <c r="B112" s="24" t="inlineStr">
        <is>
          <t>UC-08</t>
        </is>
      </c>
      <c r="C112" s="24" t="inlineStr">
        <is>
          <t>FR-022</t>
        </is>
      </c>
      <c r="D112" s="24" t="inlineStr">
        <is>
          <t>Listing Map &amp; Privacy</t>
        </is>
      </c>
      <c r="E112" s="24" t="inlineStr">
        <is>
          <t>Invalid pin rejected</t>
        </is>
      </c>
      <c r="F112" s="24" t="inlineStr">
        <is>
          <t>Negative</t>
        </is>
      </c>
      <c r="G112" s="24" t="inlineStr">
        <is>
          <t>Medium</t>
        </is>
      </c>
      <c r="H112" s="24" t="inlineStr">
        <is>
          <t>-</t>
        </is>
      </c>
      <c r="I112" s="24" t="inlineStr">
        <is>
          <t>1. Direct write lat/long or 7-char geohash to listing.</t>
        </is>
      </c>
      <c r="J112" s="24" t="inlineStr">
        <is>
          <t>-</t>
        </is>
      </c>
      <c r="K112" s="24" t="inlineStr">
        <is>
          <t>Denied by rules.</t>
        </is>
      </c>
      <c r="L112" s="24" t="inlineStr">
        <is>
          <t>New</t>
        </is>
      </c>
      <c r="M112" s="27" t="inlineStr">
        <is>
          <t>Not Run</t>
        </is>
      </c>
      <c r="N112" s="27" t="n"/>
      <c r="O112" s="27" t="n"/>
      <c r="P112" s="27" t="n"/>
      <c r="Q112" s="24" t="inlineStr">
        <is>
          <t>Unblocked 2026-10-01: rules deployed to trusthome-ph (commit a1fe48e). Run on the live test project.</t>
        </is>
      </c>
    </row>
    <row r="113" ht="15" customHeight="1" s="18">
      <c r="A113" s="23" t="inlineStr">
        <is>
          <t>TC-MAP-006</t>
        </is>
      </c>
      <c r="B113" s="24" t="inlineStr">
        <is>
          <t>UC-12</t>
        </is>
      </c>
      <c r="C113" s="24" t="inlineStr">
        <is>
          <t>FR-022</t>
        </is>
      </c>
      <c r="D113" s="24" t="inlineStr">
        <is>
          <t>Listing Map &amp; Privacy</t>
        </is>
      </c>
      <c r="E113" s="24" t="inlineStr">
        <is>
          <t>Legacy listing without pin</t>
        </is>
      </c>
      <c r="F113" s="24" t="inlineStr">
        <is>
          <t>Regression</t>
        </is>
      </c>
      <c r="G113" s="24" t="inlineStr">
        <is>
          <t>Medium</t>
        </is>
      </c>
      <c r="H113" s="24" t="inlineStr">
        <is>
          <t>Old listing</t>
        </is>
      </c>
      <c r="I113" s="24" t="inlineStr">
        <is>
          <t>1. Open detail.</t>
        </is>
      </c>
      <c r="J113" s="24" t="inlineStr">
        <is>
          <t>-</t>
        </is>
      </c>
      <c r="K113" s="24" t="inlineStr">
        <is>
          <t>Map section hidden; page works.</t>
        </is>
      </c>
      <c r="L113" s="24" t="inlineStr">
        <is>
          <t>New</t>
        </is>
      </c>
      <c r="M113" s="27" t="inlineStr">
        <is>
          <t>Not Run</t>
        </is>
      </c>
      <c r="N113" s="27" t="n"/>
      <c r="O113" s="27" t="n"/>
      <c r="P113" s="27" t="n"/>
      <c r="Q113" s="24" t="n"/>
    </row>
    <row r="114" ht="22.35" customHeight="1" s="18">
      <c r="A114" s="23" t="inlineStr">
        <is>
          <t>TC-MAP-007</t>
        </is>
      </c>
      <c r="B114" s="24" t="inlineStr">
        <is>
          <t>UC-41</t>
        </is>
      </c>
      <c r="C114" s="24" t="inlineStr">
        <is>
          <t>FR-022</t>
        </is>
      </c>
      <c r="D114" s="24" t="inlineStr">
        <is>
          <t>Listing Map &amp; Privacy</t>
        </is>
      </c>
      <c r="E114" s="24" t="inlineStr">
        <is>
          <t>listingPrivate access</t>
        </is>
      </c>
      <c r="F114" s="24" t="inlineStr">
        <is>
          <t>Security</t>
        </is>
      </c>
      <c r="G114" s="24" t="inlineStr">
        <is>
          <t>High</t>
        </is>
      </c>
      <c r="H114" s="24" t="inlineStr">
        <is>
          <t>Listing</t>
        </is>
      </c>
      <c r="I114" s="24" t="inlineStr">
        <is>
          <t>1. As guest/other user read listingPrivate/{id}. 2. As owner/admin read.</t>
        </is>
      </c>
      <c r="J114" s="24" t="inlineStr">
        <is>
          <t>-</t>
        </is>
      </c>
      <c r="K114" s="24" t="inlineStr">
        <is>
          <t>Others denied; owner/admin allowed.</t>
        </is>
      </c>
      <c r="L114" s="24" t="inlineStr">
        <is>
          <t>New</t>
        </is>
      </c>
      <c r="M114" s="27" t="inlineStr">
        <is>
          <t>Not Run</t>
        </is>
      </c>
      <c r="N114" s="27" t="n"/>
      <c r="O114" s="27" t="n"/>
      <c r="P114" s="27" t="n"/>
      <c r="Q114" s="24" t="inlineStr">
        <is>
          <t>Unblocked 2026-10-01: rules deployed to trusthome-ph (commit a1fe48e). Run on the live test project.</t>
        </is>
      </c>
    </row>
    <row r="115" ht="22.35" customHeight="1" s="18">
      <c r="A115" s="23" t="inlineStr">
        <is>
          <t>TC-MAP-008</t>
        </is>
      </c>
      <c r="B115" s="24" t="inlineStr">
        <is>
          <t>UC-06</t>
        </is>
      </c>
      <c r="C115" s="24" t="inlineStr">
        <is>
          <t>FR-022</t>
        </is>
      </c>
      <c r="D115" s="24" t="inlineStr">
        <is>
          <t>Listing Map &amp; Privacy</t>
        </is>
      </c>
      <c r="E115" s="24" t="inlineStr">
        <is>
          <t>New listing cannot contain public address</t>
        </is>
      </c>
      <c r="F115" s="24" t="inlineStr">
        <is>
          <t>Security</t>
        </is>
      </c>
      <c r="G115" s="24" t="inlineStr">
        <is>
          <t>High</t>
        </is>
      </c>
      <c r="H115" s="24" t="inlineStr">
        <is>
          <t>-</t>
        </is>
      </c>
      <c r="I115" s="24" t="inlineStr">
        <is>
          <t>1. Direct create listing with address field.</t>
        </is>
      </c>
      <c r="J115" s="24" t="inlineStr">
        <is>
          <t>-</t>
        </is>
      </c>
      <c r="K115" s="24" t="inlineStr">
        <is>
          <t>Denied.</t>
        </is>
      </c>
      <c r="L115" s="24" t="inlineStr">
        <is>
          <t>New</t>
        </is>
      </c>
      <c r="M115" s="27" t="inlineStr">
        <is>
          <t>Not Run</t>
        </is>
      </c>
      <c r="N115" s="27" t="n"/>
      <c r="O115" s="27" t="n"/>
      <c r="P115" s="27" t="n"/>
      <c r="Q115" s="24" t="inlineStr">
        <is>
          <t>Unblocked 2026-10-01: rules deployed to trusthome-ph (commit a1fe48e). Run on the live test project.</t>
        </is>
      </c>
    </row>
    <row r="116" ht="15" customHeight="1" s="18">
      <c r="A116" s="23" t="inlineStr">
        <is>
          <t>TC-MAP-009</t>
        </is>
      </c>
      <c r="B116" s="24" t="inlineStr">
        <is>
          <t>UC-20</t>
        </is>
      </c>
      <c r="C116" s="24" t="inlineStr">
        <is>
          <t>FR-024</t>
        </is>
      </c>
      <c r="D116" s="24" t="inlineStr">
        <is>
          <t>Listing Map &amp; Privacy</t>
        </is>
      </c>
      <c r="E116" s="24" t="inlineStr">
        <is>
          <t>Exact address after confirmation</t>
        </is>
      </c>
      <c r="F116" s="24" t="inlineStr">
        <is>
          <t>Functional</t>
        </is>
      </c>
      <c r="G116" s="24" t="inlineStr">
        <is>
          <t>High</t>
        </is>
      </c>
      <c r="H116" s="24" t="inlineStr">
        <is>
          <t>Confirmed booking</t>
        </is>
      </c>
      <c r="I116" s="24" t="inlineStr">
        <is>
          <t>1. Renter opens confirmed booking.</t>
        </is>
      </c>
      <c r="J116" s="24" t="inlineStr">
        <is>
          <t>-</t>
        </is>
      </c>
      <c r="K116" s="24" t="inlineStr">
        <is>
          <t>Exact address shown.</t>
        </is>
      </c>
      <c r="L116" s="24" t="inlineStr">
        <is>
          <t>New</t>
        </is>
      </c>
      <c r="M116" s="27" t="inlineStr">
        <is>
          <t>Not Run</t>
        </is>
      </c>
      <c r="N116" s="27" t="n"/>
      <c r="O116" s="27" t="n"/>
      <c r="P116" s="27" t="n"/>
      <c r="Q116" s="24" t="inlineStr">
        <is>
          <t>Reported working in Sep 30 live test. Re-run after v1.4 because confirmation now goes through the API.</t>
        </is>
      </c>
    </row>
    <row r="117" ht="22.35" customHeight="1" s="18">
      <c r="A117" s="23" t="inlineStr">
        <is>
          <t>TC-MAP-010</t>
        </is>
      </c>
      <c r="B117" s="24" t="inlineStr">
        <is>
          <t>UC-20</t>
        </is>
      </c>
      <c r="C117" s="24" t="inlineStr">
        <is>
          <t>FR-024</t>
        </is>
      </c>
      <c r="D117" s="24" t="inlineStr">
        <is>
          <t>Listing Map &amp; Privacy</t>
        </is>
      </c>
      <c r="E117" s="24" t="inlineStr">
        <is>
          <t>Exact address hidden before confirmation</t>
        </is>
      </c>
      <c r="F117" s="24" t="inlineStr">
        <is>
          <t>Security</t>
        </is>
      </c>
      <c r="G117" s="24" t="inlineStr">
        <is>
          <t>High</t>
        </is>
      </c>
      <c r="H117" s="24" t="inlineStr">
        <is>
          <t>Pending booking / unrelated user</t>
        </is>
      </c>
      <c r="I117" s="24" t="inlineStr">
        <is>
          <t>1. Open booking / query address.</t>
        </is>
      </c>
      <c r="J117" s="24" t="inlineStr">
        <is>
          <t>-</t>
        </is>
      </c>
      <c r="K117" s="24" t="inlineStr">
        <is>
          <t>Address not shown/denied.</t>
        </is>
      </c>
      <c r="L117" s="24" t="inlineStr">
        <is>
          <t>New</t>
        </is>
      </c>
      <c r="M117" s="27" t="inlineStr">
        <is>
          <t>Not Run</t>
        </is>
      </c>
      <c r="N117" s="27" t="n"/>
      <c r="O117" s="27" t="n"/>
      <c r="P117" s="27" t="n"/>
      <c r="Q117" s="24" t="n"/>
    </row>
    <row r="118" ht="15" customHeight="1" s="18">
      <c r="A118" s="23" t="inlineStr">
        <is>
          <t>TC-MAP-011</t>
        </is>
      </c>
      <c r="B118" s="24" t="inlineStr">
        <is>
          <t>UC-40</t>
        </is>
      </c>
      <c r="C118" s="24" t="inlineStr">
        <is>
          <t>FR-022</t>
        </is>
      </c>
      <c r="D118" s="24" t="inlineStr">
        <is>
          <t>Listing Map &amp; Privacy</t>
        </is>
      </c>
      <c r="E118" s="24" t="inlineStr">
        <is>
          <t>Migration dry run</t>
        </is>
      </c>
      <c r="F118" s="24" t="inlineStr">
        <is>
          <t>Functional</t>
        </is>
      </c>
      <c r="G118" s="24" t="inlineStr">
        <is>
          <t>High</t>
        </is>
      </c>
      <c r="H118" s="24" t="inlineStr">
        <is>
          <t>Backup taken</t>
        </is>
      </c>
      <c r="I118" s="24" t="inlineStr">
        <is>
          <t>1. Run migrate_listing_addresses.py.</t>
        </is>
      </c>
      <c r="J118" s="24" t="inlineStr">
        <is>
          <t>Live project</t>
        </is>
      </c>
      <c r="K118" s="24" t="inlineStr">
        <is>
          <t>Counts reported; no writes.</t>
        </is>
      </c>
      <c r="L118" s="24" t="inlineStr">
        <is>
          <t>New</t>
        </is>
      </c>
      <c r="M118" s="27" t="inlineStr">
        <is>
          <t>Not Run</t>
        </is>
      </c>
      <c r="N118" s="27" t="n"/>
      <c r="O118" s="27" t="n"/>
      <c r="P118" s="27" t="n"/>
      <c r="Q118" s="24" t="n"/>
    </row>
    <row r="119" ht="22.35" customHeight="1" s="18">
      <c r="A119" s="23" t="inlineStr">
        <is>
          <t>TC-MAP-012</t>
        </is>
      </c>
      <c r="B119" s="24" t="inlineStr">
        <is>
          <t>UC-40</t>
        </is>
      </c>
      <c r="C119" s="24" t="inlineStr">
        <is>
          <t>FR-022</t>
        </is>
      </c>
      <c r="D119" s="24" t="inlineStr">
        <is>
          <t>Listing Map &amp; Privacy</t>
        </is>
      </c>
      <c r="E119" s="24" t="inlineStr">
        <is>
          <t>Migration apply is idempotent</t>
        </is>
      </c>
      <c r="F119" s="24" t="inlineStr">
        <is>
          <t>Functional</t>
        </is>
      </c>
      <c r="G119" s="24" t="inlineStr">
        <is>
          <t>High</t>
        </is>
      </c>
      <c r="H119" s="24" t="inlineStr">
        <is>
          <t>Dry run reviewed</t>
        </is>
      </c>
      <c r="I119" s="24" t="inlineStr">
        <is>
          <t>1. Run --apply twice.</t>
        </is>
      </c>
      <c r="J119" s="24" t="inlineStr">
        <is>
          <t>-</t>
        </is>
      </c>
      <c r="K119" s="24" t="inlineStr">
        <is>
          <t>Second run changes nothing; existing private addresses kept; conflicts reported.</t>
        </is>
      </c>
      <c r="L119" s="24" t="inlineStr">
        <is>
          <t>New</t>
        </is>
      </c>
      <c r="M119" s="27" t="inlineStr">
        <is>
          <t>Not Run</t>
        </is>
      </c>
      <c r="N119" s="27" t="n"/>
      <c r="O119" s="27" t="n"/>
      <c r="P119" s="27" t="n"/>
      <c r="Q119" s="24" t="n"/>
    </row>
    <row r="120" ht="15" customHeight="1" s="18">
      <c r="A120" s="23" t="inlineStr">
        <is>
          <t>TC-NAV-001</t>
        </is>
      </c>
      <c r="B120" s="24" t="inlineStr">
        <is>
          <t>UC-21</t>
        </is>
      </c>
      <c r="C120" s="24" t="inlineStr">
        <is>
          <t>FR-021</t>
        </is>
      </c>
      <c r="D120" s="24" t="inlineStr">
        <is>
          <t>Navigation &amp; Settings</t>
        </is>
      </c>
      <c r="E120" s="24" t="inlineStr">
        <is>
          <t>Account menu has no duplicates</t>
        </is>
      </c>
      <c r="F120" s="24" t="inlineStr">
        <is>
          <t>UI</t>
        </is>
      </c>
      <c r="G120" s="24" t="inlineStr">
        <is>
          <t>Medium</t>
        </is>
      </c>
      <c r="H120" s="24" t="inlineStr">
        <is>
          <t>Signed in</t>
        </is>
      </c>
      <c r="I120" s="24" t="inlineStr">
        <is>
          <t>1. Open account menu.</t>
        </is>
      </c>
      <c r="J120" s="24" t="inlineStr">
        <is>
          <t>-</t>
        </is>
      </c>
      <c r="K120" s="24" t="inlineStr">
        <is>
          <t>Single My Activity entry; no Saved Searches.</t>
        </is>
      </c>
      <c r="L120" s="24" t="inlineStr">
        <is>
          <t>New</t>
        </is>
      </c>
      <c r="M120" s="27" t="inlineStr">
        <is>
          <t>Not Run</t>
        </is>
      </c>
      <c r="N120" s="27" t="n"/>
      <c r="O120" s="27" t="n"/>
      <c r="P120" s="27" t="n"/>
      <c r="Q120" s="24" t="n"/>
    </row>
    <row r="121" ht="15" customHeight="1" s="18">
      <c r="A121" s="23" t="inlineStr">
        <is>
          <t>TC-NAV-002</t>
        </is>
      </c>
      <c r="B121" s="24" t="inlineStr">
        <is>
          <t>UC-21</t>
        </is>
      </c>
      <c r="C121" s="24" t="inlineStr">
        <is>
          <t>FR-021</t>
        </is>
      </c>
      <c r="D121" s="24" t="inlineStr">
        <is>
          <t>Navigation &amp; Settings</t>
        </is>
      </c>
      <c r="E121" s="24" t="inlineStr">
        <is>
          <t>My Activity tabs + URL</t>
        </is>
      </c>
      <c r="F121" s="24" t="inlineStr">
        <is>
          <t>Functional</t>
        </is>
      </c>
      <c r="G121" s="24" t="inlineStr">
        <is>
          <t>Medium</t>
        </is>
      </c>
      <c r="H121" s="24" t="inlineStr">
        <is>
          <t>Signed in</t>
        </is>
      </c>
      <c r="I121" s="24" t="inlineStr">
        <is>
          <t>1. Switch each tab. 2. Reload. 3. Copy URL to new tab.</t>
        </is>
      </c>
      <c r="J121" s="24" t="inlineStr">
        <is>
          <t>-</t>
        </is>
      </c>
      <c r="K121" s="24" t="inlineStr">
        <is>
          <t>Tab state in URL and restored.</t>
        </is>
      </c>
      <c r="L121" s="24" t="inlineStr">
        <is>
          <t>New</t>
        </is>
      </c>
      <c r="M121" s="27" t="inlineStr">
        <is>
          <t>Not Run</t>
        </is>
      </c>
      <c r="N121" s="27" t="n"/>
      <c r="O121" s="27" t="n"/>
      <c r="P121" s="27" t="n"/>
      <c r="Q121" s="24" t="n"/>
    </row>
    <row r="122" ht="15" customHeight="1" s="18">
      <c r="A122" s="23" t="inlineStr">
        <is>
          <t>TC-NAV-003</t>
        </is>
      </c>
      <c r="B122" s="24" t="inlineStr">
        <is>
          <t>UC-21</t>
        </is>
      </c>
      <c r="C122" s="24" t="inlineStr">
        <is>
          <t>FR-021</t>
        </is>
      </c>
      <c r="D122" s="24" t="inlineStr">
        <is>
          <t>Navigation &amp; Settings</t>
        </is>
      </c>
      <c r="E122" s="24" t="inlineStr">
        <is>
          <t>Old direct routes still work</t>
        </is>
      </c>
      <c r="F122" s="24" t="inlineStr">
        <is>
          <t>Regression</t>
        </is>
      </c>
      <c r="G122" s="24" t="inlineStr">
        <is>
          <t>Low</t>
        </is>
      </c>
      <c r="H122" s="24" t="inlineStr">
        <is>
          <t>-</t>
        </is>
      </c>
      <c r="I122" s="24" t="inlineStr">
        <is>
          <t>1. Open previous My Bookings / Requests routes.</t>
        </is>
      </c>
      <c r="J122" s="24" t="inlineStr">
        <is>
          <t>-</t>
        </is>
      </c>
      <c r="K122" s="24" t="inlineStr">
        <is>
          <t>Pages load.</t>
        </is>
      </c>
      <c r="L122" s="24" t="inlineStr">
        <is>
          <t>New</t>
        </is>
      </c>
      <c r="M122" s="27" t="inlineStr">
        <is>
          <t>Not Run</t>
        </is>
      </c>
      <c r="N122" s="27" t="n"/>
      <c r="O122" s="27" t="n"/>
      <c r="P122" s="27" t="n"/>
      <c r="Q122" s="24" t="n"/>
    </row>
    <row r="123" ht="22.35" customHeight="1" s="18">
      <c r="A123" s="23" t="inlineStr">
        <is>
          <t>TC-NAV-004</t>
        </is>
      </c>
      <c r="B123" s="24" t="inlineStr">
        <is>
          <t>UC-38</t>
        </is>
      </c>
      <c r="C123" s="24" t="inlineStr">
        <is>
          <t>FR-017</t>
        </is>
      </c>
      <c r="D123" s="24" t="inlineStr">
        <is>
          <t>Navigation &amp; Settings</t>
        </is>
      </c>
      <c r="E123" s="24" t="inlineStr">
        <is>
          <t>/saved-searches redirects</t>
        </is>
      </c>
      <c r="F123" s="24" t="inlineStr">
        <is>
          <t>Regression</t>
        </is>
      </c>
      <c r="G123" s="24" t="inlineStr">
        <is>
          <t>Low</t>
        </is>
      </c>
      <c r="H123" s="24" t="inlineStr">
        <is>
          <t>Existing savedSearches docs</t>
        </is>
      </c>
      <c r="I123" s="24" t="inlineStr">
        <is>
          <t>1. Open /saved-searches.</t>
        </is>
      </c>
      <c r="J123" s="24" t="inlineStr">
        <is>
          <t>-</t>
        </is>
      </c>
      <c r="K123" s="24" t="inlineStr">
        <is>
          <t>Redirect to Browse; records remain in Firestore.</t>
        </is>
      </c>
      <c r="L123" s="24" t="inlineStr">
        <is>
          <t>New</t>
        </is>
      </c>
      <c r="M123" s="27" t="inlineStr">
        <is>
          <t>Not Run</t>
        </is>
      </c>
      <c r="N123" s="27" t="n"/>
      <c r="O123" s="27" t="n"/>
      <c r="P123" s="27" t="n"/>
      <c r="Q123" s="24" t="n"/>
    </row>
    <row r="124" ht="22.35" customHeight="1" s="18">
      <c r="A124" s="23" t="inlineStr">
        <is>
          <t>TC-SET-001</t>
        </is>
      </c>
      <c r="B124" s="24" t="inlineStr">
        <is>
          <t>UC-37</t>
        </is>
      </c>
      <c r="C124" s="24" t="inlineStr">
        <is>
          <t>FR-021</t>
        </is>
      </c>
      <c r="D124" s="24" t="inlineStr">
        <is>
          <t>Navigation &amp; Settings</t>
        </is>
      </c>
      <c r="E124" s="24" t="inlineStr">
        <is>
          <t>System/Light/Dark appearance</t>
        </is>
      </c>
      <c r="F124" s="24" t="inlineStr">
        <is>
          <t>Functional</t>
        </is>
      </c>
      <c r="G124" s="24" t="inlineStr">
        <is>
          <t>Medium</t>
        </is>
      </c>
      <c r="H124" s="24" t="inlineStr">
        <is>
          <t>-</t>
        </is>
      </c>
      <c r="I124" s="24" t="inlineStr">
        <is>
          <t>1. Select each mode. 2. Change OS theme in System mode.</t>
        </is>
      </c>
      <c r="J124" s="24" t="inlineStr">
        <is>
          <t>-</t>
        </is>
      </c>
      <c r="K124" s="24" t="inlineStr">
        <is>
          <t>Theme applied; System follows OS.</t>
        </is>
      </c>
      <c r="L124" s="24" t="inlineStr">
        <is>
          <t>New</t>
        </is>
      </c>
      <c r="M124" s="27" t="inlineStr">
        <is>
          <t>Not Run</t>
        </is>
      </c>
      <c r="N124" s="27" t="n"/>
      <c r="O124" s="27" t="n"/>
      <c r="P124" s="27" t="n"/>
      <c r="Q124" s="24" t="n"/>
    </row>
    <row r="125" ht="22.35" customHeight="1" s="18">
      <c r="A125" s="23" t="inlineStr">
        <is>
          <t>TC-SET-002</t>
        </is>
      </c>
      <c r="B125" s="24" t="inlineStr">
        <is>
          <t>UC-37</t>
        </is>
      </c>
      <c r="C125" s="24" t="inlineStr">
        <is>
          <t>FR-021</t>
        </is>
      </c>
      <c r="D125" s="24" t="inlineStr">
        <is>
          <t>Navigation &amp; Settings</t>
        </is>
      </c>
      <c r="E125" s="24" t="inlineStr">
        <is>
          <t>Accessibility toggles persist</t>
        </is>
      </c>
      <c r="F125" s="24" t="inlineStr">
        <is>
          <t>Functional</t>
        </is>
      </c>
      <c r="G125" s="24" t="inlineStr">
        <is>
          <t>Medium</t>
        </is>
      </c>
      <c r="H125" s="24" t="inlineStr">
        <is>
          <t>-</t>
        </is>
      </c>
      <c r="I125" s="24" t="inlineStr">
        <is>
          <t>1. Enable Larger text, High contrast, Reduce motion. 2. Reload.</t>
        </is>
      </c>
      <c r="J125" s="24" t="inlineStr">
        <is>
          <t>-</t>
        </is>
      </c>
      <c r="K125" s="24" t="inlineStr">
        <is>
          <t>Preferences persist and apply.</t>
        </is>
      </c>
      <c r="L125" s="24" t="inlineStr">
        <is>
          <t>New</t>
        </is>
      </c>
      <c r="M125" s="27" t="inlineStr">
        <is>
          <t>Not Run</t>
        </is>
      </c>
      <c r="N125" s="27" t="n"/>
      <c r="O125" s="27" t="n"/>
      <c r="P125" s="27" t="n"/>
      <c r="Q125" s="24" t="n"/>
    </row>
    <row r="126" ht="15" customHeight="1" s="18">
      <c r="A126" s="23" t="inlineStr">
        <is>
          <t>TC-SET-003</t>
        </is>
      </c>
      <c r="B126" s="24" t="inlineStr">
        <is>
          <t>UC-37</t>
        </is>
      </c>
      <c r="C126" s="24" t="inlineStr">
        <is>
          <t>FR-021</t>
        </is>
      </c>
      <c r="D126" s="24" t="inlineStr">
        <is>
          <t>Navigation &amp; Settings</t>
        </is>
      </c>
      <c r="E126" s="24" t="inlineStr">
        <is>
          <t>Switch visibility in dark mode</t>
        </is>
      </c>
      <c r="F126" s="24" t="inlineStr">
        <is>
          <t>UI</t>
        </is>
      </c>
      <c r="G126" s="24" t="inlineStr">
        <is>
          <t>Low</t>
        </is>
      </c>
      <c r="H126" s="24" t="inlineStr">
        <is>
          <t>Dark mode</t>
        </is>
      </c>
      <c r="I126" s="24" t="inlineStr">
        <is>
          <t>1. Open Settings.</t>
        </is>
      </c>
      <c r="J126" s="24" t="inlineStr">
        <is>
          <t>-</t>
        </is>
      </c>
      <c r="K126" s="24" t="inlineStr">
        <is>
          <t>Switch thumbs clearly visible; contrast &gt;= 3:1.</t>
        </is>
      </c>
      <c r="L126" s="24" t="inlineStr">
        <is>
          <t>New</t>
        </is>
      </c>
      <c r="M126" s="27" t="inlineStr">
        <is>
          <t>Not Run</t>
        </is>
      </c>
      <c r="N126" s="27" t="n"/>
      <c r="O126" s="27" t="n"/>
      <c r="P126" s="27" t="n"/>
      <c r="Q126" s="24" t="n"/>
    </row>
    <row r="127" ht="15" customHeight="1" s="18">
      <c r="A127" s="23" t="inlineStr">
        <is>
          <t>TC-SAVE-001</t>
        </is>
      </c>
      <c r="B127" s="24" t="inlineStr">
        <is>
          <t>UC-38</t>
        </is>
      </c>
      <c r="C127" s="24" t="inlineStr">
        <is>
          <t>FR-017</t>
        </is>
      </c>
      <c r="D127" s="24" t="inlineStr">
        <is>
          <t>Saved Searches (Retired)</t>
        </is>
      </c>
      <c r="E127" s="24" t="inlineStr">
        <is>
          <t>Save filters</t>
        </is>
      </c>
      <c r="F127" s="24" t="inlineStr">
        <is>
          <t>Functional</t>
        </is>
      </c>
      <c r="G127" s="24" t="inlineStr">
        <is>
          <t>Low</t>
        </is>
      </c>
      <c r="H127" s="24" t="inlineStr">
        <is>
          <t>-</t>
        </is>
      </c>
      <c r="I127" s="24" t="inlineStr">
        <is>
          <t>Retired</t>
        </is>
      </c>
      <c r="J127" s="24" t="inlineStr">
        <is>
          <t>-</t>
        </is>
      </c>
      <c r="K127" s="24" t="inlineStr">
        <is>
          <t>Retired with Saved Searches removal.</t>
        </is>
      </c>
      <c r="L127" s="24" t="inlineStr">
        <is>
          <t>Retired</t>
        </is>
      </c>
      <c r="M127" s="27" t="inlineStr">
        <is>
          <t>Retired</t>
        </is>
      </c>
      <c r="N127" s="27" t="n"/>
      <c r="O127" s="27" t="n"/>
      <c r="P127" s="27" t="n"/>
      <c r="Q127" s="24" t="inlineStr">
        <is>
          <t>Replaced by TC-NAV-004.</t>
        </is>
      </c>
    </row>
    <row r="128" ht="15" customHeight="1" s="18">
      <c r="A128" s="23" t="inlineStr">
        <is>
          <t>TC-SAVE-002</t>
        </is>
      </c>
      <c r="B128" s="24" t="inlineStr">
        <is>
          <t>UC-38</t>
        </is>
      </c>
      <c r="C128" s="24" t="inlineStr">
        <is>
          <t>FR-017</t>
        </is>
      </c>
      <c r="D128" s="24" t="inlineStr">
        <is>
          <t>Saved Searches (Retired)</t>
        </is>
      </c>
      <c r="E128" s="24" t="inlineStr">
        <is>
          <t>Alert on new match</t>
        </is>
      </c>
      <c r="F128" s="24" t="inlineStr">
        <is>
          <t>Functional</t>
        </is>
      </c>
      <c r="G128" s="24" t="inlineStr">
        <is>
          <t>Low</t>
        </is>
      </c>
      <c r="H128" s="24" t="inlineStr">
        <is>
          <t>-</t>
        </is>
      </c>
      <c r="I128" s="24" t="inlineStr">
        <is>
          <t>Retired</t>
        </is>
      </c>
      <c r="J128" s="24" t="inlineStr">
        <is>
          <t>-</t>
        </is>
      </c>
      <c r="K128" s="24" t="inlineStr">
        <is>
          <t>Retired; never implemented.</t>
        </is>
      </c>
      <c r="L128" s="24" t="inlineStr">
        <is>
          <t>Retired</t>
        </is>
      </c>
      <c r="M128" s="27" t="inlineStr">
        <is>
          <t>Retired</t>
        </is>
      </c>
      <c r="N128" s="27" t="n"/>
      <c r="O128" s="27" t="n"/>
      <c r="P128" s="27" t="n"/>
      <c r="Q128" s="24" t="inlineStr">
        <is>
          <t>Remove FR-017 from active scope.</t>
        </is>
      </c>
    </row>
    <row r="129" ht="22.35" customHeight="1" s="18">
      <c r="A129" s="23" t="inlineStr">
        <is>
          <t>TC-BANK-001</t>
        </is>
      </c>
      <c r="B129" s="24" t="inlineStr">
        <is>
          <t>UC-30</t>
        </is>
      </c>
      <c r="C129" s="24" t="inlineStr">
        <is>
          <t>FR-014</t>
        </is>
      </c>
      <c r="D129" s="24" t="inlineStr">
        <is>
          <t>Bank Catalog &amp; Loan</t>
        </is>
      </c>
      <c r="E129" s="24" t="inlineStr">
        <is>
          <t>Scraper upserts with lastSeen</t>
        </is>
      </c>
      <c r="F129" s="24" t="inlineStr">
        <is>
          <t>Integration</t>
        </is>
      </c>
      <c r="G129" s="24" t="inlineStr">
        <is>
          <t>Medium</t>
        </is>
      </c>
      <c r="H129" s="24" t="inlineStr">
        <is>
          <t>Live Metrobank</t>
        </is>
      </c>
      <c r="I129" s="24" t="inlineStr">
        <is>
          <t>1. Run scraper. 2. Open catalog.</t>
        </is>
      </c>
      <c r="J129" s="24" t="inlineStr">
        <is>
          <t>-</t>
        </is>
      </c>
      <c r="K129" s="24" t="inlineStr">
        <is>
          <t>metrobank_&lt;ref&gt; docs with lastSeen; 'Last verified' shown.</t>
        </is>
      </c>
      <c r="L129" s="24" t="inlineStr">
        <is>
          <t>Existing (QA doc)</t>
        </is>
      </c>
      <c r="M129" s="27" t="inlineStr">
        <is>
          <t>Passed (Dev)</t>
        </is>
      </c>
      <c r="N129" s="27" t="n"/>
      <c r="O129" s="27" t="n"/>
      <c r="P129" s="27" t="n"/>
      <c r="Q129" s="24" t="n"/>
    </row>
    <row r="130" ht="15" customHeight="1" s="18">
      <c r="A130" s="23" t="inlineStr">
        <is>
          <t>TC-BANK-002</t>
        </is>
      </c>
      <c r="B130" s="24" t="inlineStr">
        <is>
          <t>UC-30</t>
        </is>
      </c>
      <c r="C130" s="24" t="inlineStr">
        <is>
          <t>FR-014</t>
        </is>
      </c>
      <c r="D130" s="24" t="inlineStr">
        <is>
          <t>Bank Catalog &amp; Loan</t>
        </is>
      </c>
      <c r="E130" s="24" t="inlineStr">
        <is>
          <t>Missing records delisted</t>
        </is>
      </c>
      <c r="F130" s="24" t="inlineStr">
        <is>
          <t>Integration</t>
        </is>
      </c>
      <c r="G130" s="24" t="inlineStr">
        <is>
          <t>Medium</t>
        </is>
      </c>
      <c r="H130" s="24" t="inlineStr">
        <is>
          <t>Existing active record</t>
        </is>
      </c>
      <c r="I130" s="24" t="inlineStr">
        <is>
          <t>1. Run when record absent.</t>
        </is>
      </c>
      <c r="J130" s="24" t="inlineStr">
        <is>
          <t>-</t>
        </is>
      </c>
      <c r="K130" s="24" t="inlineStr">
        <is>
          <t>status delisted; lastSeen updated.</t>
        </is>
      </c>
      <c r="L130" s="24" t="inlineStr">
        <is>
          <t>Existing (QA doc)</t>
        </is>
      </c>
      <c r="M130" s="27" t="inlineStr">
        <is>
          <t>Passed (Dev)</t>
        </is>
      </c>
      <c r="N130" s="27" t="n"/>
      <c r="O130" s="27" t="n"/>
      <c r="P130" s="27" t="n"/>
      <c r="Q130" s="24" t="n"/>
    </row>
    <row r="131" ht="15" customHeight="1" s="18">
      <c r="A131" s="23" t="inlineStr">
        <is>
          <t>TC-BANK-003</t>
        </is>
      </c>
      <c r="B131" s="24" t="inlineStr">
        <is>
          <t>UC-41</t>
        </is>
      </c>
      <c r="C131" s="24" t="inlineStr">
        <is>
          <t>FR-014</t>
        </is>
      </c>
      <c r="D131" s="24" t="inlineStr">
        <is>
          <t>Bank Catalog &amp; Loan</t>
        </is>
      </c>
      <c r="E131" s="24" t="inlineStr">
        <is>
          <t>Client write to bankProperties</t>
        </is>
      </c>
      <c r="F131" s="24" t="inlineStr">
        <is>
          <t>Security</t>
        </is>
      </c>
      <c r="G131" s="24" t="inlineStr">
        <is>
          <t>Medium</t>
        </is>
      </c>
      <c r="H131" s="24" t="inlineStr">
        <is>
          <t>Normal user</t>
        </is>
      </c>
      <c r="I131" s="24" t="inlineStr">
        <is>
          <t>1. Direct write.</t>
        </is>
      </c>
      <c r="J131" s="24" t="inlineStr">
        <is>
          <t>-</t>
        </is>
      </c>
      <c r="K131" s="24" t="inlineStr">
        <is>
          <t>Denied.</t>
        </is>
      </c>
      <c r="L131" s="24" t="inlineStr">
        <is>
          <t>Existing (QA doc)</t>
        </is>
      </c>
      <c r="M131" s="27" t="inlineStr">
        <is>
          <t>Not Run</t>
        </is>
      </c>
      <c r="N131" s="27" t="n"/>
      <c r="O131" s="27" t="n"/>
      <c r="P131" s="27" t="n"/>
      <c r="Q131" s="24" t="inlineStr">
        <is>
          <t>Unblocked 2026-10-01: rules deployed to trusthome-ph (commit a1fe48e). Run on the live test project.</t>
        </is>
      </c>
    </row>
    <row r="132" ht="15" customHeight="1" s="18">
      <c r="A132" s="23" t="inlineStr">
        <is>
          <t>TC-BANK-004</t>
        </is>
      </c>
      <c r="B132" s="24" t="inlineStr">
        <is>
          <t>UC-30</t>
        </is>
      </c>
      <c r="C132" s="24" t="inlineStr">
        <is>
          <t>FR-014</t>
        </is>
      </c>
      <c r="D132" s="24" t="inlineStr">
        <is>
          <t>Bank Catalog &amp; Loan</t>
        </is>
      </c>
      <c r="E132" s="24" t="inlineStr">
        <is>
          <t>No duplicates on re-run</t>
        </is>
      </c>
      <c r="F132" s="24" t="inlineStr">
        <is>
          <t>Integration</t>
        </is>
      </c>
      <c r="G132" s="24" t="inlineStr">
        <is>
          <t>Medium</t>
        </is>
      </c>
      <c r="H132" s="24" t="inlineStr">
        <is>
          <t>-</t>
        </is>
      </c>
      <c r="I132" s="24" t="inlineStr">
        <is>
          <t>1. Run scraper twice.</t>
        </is>
      </c>
      <c r="J132" s="24" t="inlineStr">
        <is>
          <t>-</t>
        </is>
      </c>
      <c r="K132" s="24" t="inlineStr">
        <is>
          <t>Same doc count; deterministic IDs.</t>
        </is>
      </c>
      <c r="L132" s="24" t="inlineStr">
        <is>
          <t>New</t>
        </is>
      </c>
      <c r="M132" s="27" t="inlineStr">
        <is>
          <t>Not Run</t>
        </is>
      </c>
      <c r="N132" s="27" t="n"/>
      <c r="O132" s="27" t="n"/>
      <c r="P132" s="27" t="n"/>
      <c r="Q132" s="24" t="n"/>
    </row>
    <row r="133" ht="15" customHeight="1" s="18">
      <c r="A133" s="23" t="inlineStr">
        <is>
          <t>TC-BANK-005</t>
        </is>
      </c>
      <c r="B133" s="24" t="inlineStr">
        <is>
          <t>UC-31</t>
        </is>
      </c>
      <c r="C133" s="24" t="inlineStr">
        <is>
          <t>FR-014</t>
        </is>
      </c>
      <c r="D133" s="24" t="inlineStr">
        <is>
          <t>Bank Catalog &amp; Loan</t>
        </is>
      </c>
      <c r="E133" s="24" t="inlineStr">
        <is>
          <t>Catalog filters</t>
        </is>
      </c>
      <c r="F133" s="24" t="inlineStr">
        <is>
          <t>Functional</t>
        </is>
      </c>
      <c r="G133" s="24" t="inlineStr">
        <is>
          <t>Medium</t>
        </is>
      </c>
      <c r="H133" s="24" t="inlineStr">
        <is>
          <t>Populated catalog</t>
        </is>
      </c>
      <c r="I133" s="24" t="inlineStr">
        <is>
          <t>1. Filter bank/city/price.</t>
        </is>
      </c>
      <c r="J133" s="24" t="inlineStr">
        <is>
          <t>-</t>
        </is>
      </c>
      <c r="K133" s="24" t="inlineStr">
        <is>
          <t>Correct results; empty state.</t>
        </is>
      </c>
      <c r="L133" s="24" t="inlineStr">
        <is>
          <t>New</t>
        </is>
      </c>
      <c r="M133" s="27" t="inlineStr">
        <is>
          <t>Not Run</t>
        </is>
      </c>
      <c r="N133" s="27" t="n"/>
      <c r="O133" s="27" t="n"/>
      <c r="P133" s="27" t="n"/>
      <c r="Q133" s="24" t="n"/>
    </row>
    <row r="134" ht="15" customHeight="1" s="18">
      <c r="A134" s="23" t="inlineStr">
        <is>
          <t>TC-BANK-006</t>
        </is>
      </c>
      <c r="B134" s="24" t="inlineStr">
        <is>
          <t>UC-31</t>
        </is>
      </c>
      <c r="C134" s="24" t="inlineStr">
        <is>
          <t>FR-014</t>
        </is>
      </c>
      <c r="D134" s="24" t="inlineStr">
        <is>
          <t>Bank Catalog &amp; Loan</t>
        </is>
      </c>
      <c r="E134" s="24" t="inlineStr">
        <is>
          <t>Image fallback</t>
        </is>
      </c>
      <c r="F134" s="24" t="inlineStr">
        <is>
          <t>UI</t>
        </is>
      </c>
      <c r="G134" s="24" t="inlineStr">
        <is>
          <t>Low</t>
        </is>
      </c>
      <c r="H134" s="24" t="inlineStr">
        <is>
          <t>Property without image</t>
        </is>
      </c>
      <c r="I134" s="24" t="inlineStr">
        <is>
          <t>1. Open catalog.</t>
        </is>
      </c>
      <c r="J134" s="24" t="inlineStr">
        <is>
          <t>-</t>
        </is>
      </c>
      <c r="K134" s="24" t="inlineStr">
        <is>
          <t>Fallback image, no broken icon.</t>
        </is>
      </c>
      <c r="L134" s="24" t="inlineStr">
        <is>
          <t>New</t>
        </is>
      </c>
      <c r="M134" s="27" t="inlineStr">
        <is>
          <t>Not Run</t>
        </is>
      </c>
      <c r="N134" s="27" t="n"/>
      <c r="O134" s="27" t="n"/>
      <c r="P134" s="27" t="n"/>
      <c r="Q134" s="24" t="inlineStr">
        <is>
          <t>TODO cleanup 2026-09-30.</t>
        </is>
      </c>
    </row>
    <row r="135" ht="15" customHeight="1" s="18">
      <c r="A135" s="23" t="inlineStr">
        <is>
          <t>TC-BANK-007</t>
        </is>
      </c>
      <c r="B135" s="24" t="inlineStr">
        <is>
          <t>UC-33</t>
        </is>
      </c>
      <c r="C135" s="24" t="inlineStr">
        <is>
          <t>FR-016</t>
        </is>
      </c>
      <c r="D135" s="24" t="inlineStr">
        <is>
          <t>Bank Catalog &amp; Loan</t>
        </is>
      </c>
      <c r="E135" s="24" t="inlineStr">
        <is>
          <t>Admin scrape log view</t>
        </is>
      </c>
      <c r="F135" s="24" t="inlineStr">
        <is>
          <t>UI</t>
        </is>
      </c>
      <c r="G135" s="24" t="inlineStr">
        <is>
          <t>Low</t>
        </is>
      </c>
      <c r="H135" s="24" t="inlineStr">
        <is>
          <t>Admin</t>
        </is>
      </c>
      <c r="I135" s="24" t="inlineStr">
        <is>
          <t>1. Open Bank Catalog Status.</t>
        </is>
      </c>
      <c r="J135" s="24" t="inlineStr">
        <is>
          <t>-</t>
        </is>
      </c>
      <c r="K135" s="24" t="inlineStr">
        <is>
          <t>Last run shown; intended inset/padding.</t>
        </is>
      </c>
      <c r="L135" s="24" t="inlineStr">
        <is>
          <t>New</t>
        </is>
      </c>
      <c r="M135" s="27" t="inlineStr">
        <is>
          <t>Not Run</t>
        </is>
      </c>
      <c r="N135" s="27" t="n"/>
      <c r="O135" s="27" t="n"/>
      <c r="P135" s="27" t="n"/>
      <c r="Q135" s="24" t="n"/>
    </row>
    <row r="136" ht="15" customHeight="1" s="18">
      <c r="A136" s="23" t="inlineStr">
        <is>
          <t>TC-LOAN-001</t>
        </is>
      </c>
      <c r="B136" s="24" t="inlineStr">
        <is>
          <t>UC-32</t>
        </is>
      </c>
      <c r="C136" s="24" t="inlineStr">
        <is>
          <t>FR-015</t>
        </is>
      </c>
      <c r="D136" s="24" t="inlineStr">
        <is>
          <t>Bank Catalog &amp; Loan</t>
        </is>
      </c>
      <c r="E136" s="24" t="inlineStr">
        <is>
          <t>Known amortization value</t>
        </is>
      </c>
      <c r="F136" s="24" t="inlineStr">
        <is>
          <t>Unit</t>
        </is>
      </c>
      <c r="G136" s="24" t="inlineStr">
        <is>
          <t>Medium</t>
        </is>
      </c>
      <c r="H136" s="24" t="inlineStr">
        <is>
          <t>-</t>
        </is>
      </c>
      <c r="I136" s="24" t="inlineStr">
        <is>
          <t>1. 2,000,000; 20% down; 6%; 20 yrs.</t>
        </is>
      </c>
      <c r="J136" s="24" t="inlineStr">
        <is>
          <t>-</t>
        </is>
      </c>
      <c r="K136" s="24" t="inlineStr">
        <is>
          <t>≈ PHP 11,462.90.</t>
        </is>
      </c>
      <c r="L136" s="24" t="inlineStr">
        <is>
          <t>Existing (QA doc)</t>
        </is>
      </c>
      <c r="M136" s="27" t="inlineStr">
        <is>
          <t>Passed (Dev)</t>
        </is>
      </c>
      <c r="N136" s="27" t="n"/>
      <c r="O136" s="27" t="n"/>
      <c r="P136" s="27" t="n"/>
      <c r="Q136" s="24" t="n"/>
    </row>
    <row r="137" ht="15" customHeight="1" s="18">
      <c r="A137" s="23" t="inlineStr">
        <is>
          <t>TC-LOAN-002</t>
        </is>
      </c>
      <c r="B137" s="24" t="inlineStr">
        <is>
          <t>UC-32</t>
        </is>
      </c>
      <c r="C137" s="24" t="inlineStr">
        <is>
          <t>FR-015</t>
        </is>
      </c>
      <c r="D137" s="24" t="inlineStr">
        <is>
          <t>Bank Catalog &amp; Loan</t>
        </is>
      </c>
      <c r="E137" s="24" t="inlineStr">
        <is>
          <t>Invalid inputs</t>
        </is>
      </c>
      <c r="F137" s="24" t="inlineStr">
        <is>
          <t>Negative</t>
        </is>
      </c>
      <c r="G137" s="24" t="inlineStr">
        <is>
          <t>Medium</t>
        </is>
      </c>
      <c r="H137" s="24" t="inlineStr">
        <is>
          <t>-</t>
        </is>
      </c>
      <c r="I137" s="24" t="inlineStr">
        <is>
          <t>1. 0% rate, negative price, empty term.</t>
        </is>
      </c>
      <c r="J137" s="24" t="inlineStr">
        <is>
          <t>-</t>
        </is>
      </c>
      <c r="K137" s="24" t="inlineStr">
        <is>
          <t>Validation; no NaN/Infinity.</t>
        </is>
      </c>
      <c r="L137" s="24" t="inlineStr">
        <is>
          <t>Existing (QA doc)</t>
        </is>
      </c>
      <c r="M137" s="27" t="inlineStr">
        <is>
          <t>Not Run</t>
        </is>
      </c>
      <c r="N137" s="27" t="n"/>
      <c r="O137" s="27" t="n"/>
      <c r="P137" s="27" t="n"/>
      <c r="Q137" s="24" t="n"/>
    </row>
    <row r="138" ht="15" customHeight="1" s="18">
      <c r="A138" s="23" t="inlineStr">
        <is>
          <t>TC-LOAN-003</t>
        </is>
      </c>
      <c r="B138" s="24" t="inlineStr">
        <is>
          <t>UC-32</t>
        </is>
      </c>
      <c r="C138" s="24" t="inlineStr">
        <is>
          <t>FR-015</t>
        </is>
      </c>
      <c r="D138" s="24" t="inlineStr">
        <is>
          <t>Bank Catalog &amp; Loan</t>
        </is>
      </c>
      <c r="E138" s="24" t="inlineStr">
        <is>
          <t>Price pre-filled from property</t>
        </is>
      </c>
      <c r="F138" s="24" t="inlineStr">
        <is>
          <t>Functional</t>
        </is>
      </c>
      <c r="G138" s="24" t="inlineStr">
        <is>
          <t>Low</t>
        </is>
      </c>
      <c r="H138" s="24" t="inlineStr">
        <is>
          <t>Bank property</t>
        </is>
      </c>
      <c r="I138" s="24" t="inlineStr">
        <is>
          <t>1. Open detail.</t>
        </is>
      </c>
      <c r="J138" s="24" t="inlineStr">
        <is>
          <t>-</t>
        </is>
      </c>
      <c r="K138" s="24" t="inlineStr">
        <is>
          <t>Price pre-filled.</t>
        </is>
      </c>
      <c r="L138" s="24" t="inlineStr">
        <is>
          <t>New</t>
        </is>
      </c>
      <c r="M138" s="27" t="inlineStr">
        <is>
          <t>Not Run</t>
        </is>
      </c>
      <c r="N138" s="27" t="n"/>
      <c r="O138" s="27" t="n"/>
      <c r="P138" s="27" t="n"/>
      <c r="Q138" s="24" t="n"/>
    </row>
    <row r="139" ht="15" customHeight="1" s="18">
      <c r="A139" s="23" t="inlineStr">
        <is>
          <t>TC-LOAN-004</t>
        </is>
      </c>
      <c r="B139" s="24" t="inlineStr">
        <is>
          <t>UC-32</t>
        </is>
      </c>
      <c r="C139" s="24" t="inlineStr">
        <is>
          <t>FR-015</t>
        </is>
      </c>
      <c r="D139" s="24" t="inlineStr">
        <is>
          <t>Bank Catalog &amp; Loan</t>
        </is>
      </c>
      <c r="E139" s="24" t="inlineStr">
        <is>
          <t>0% interest computes P/n</t>
        </is>
      </c>
      <c r="F139" s="24" t="inlineStr">
        <is>
          <t>Unit</t>
        </is>
      </c>
      <c r="G139" s="24" t="inlineStr">
        <is>
          <t>Medium</t>
        </is>
      </c>
      <c r="H139" s="24" t="inlineStr">
        <is>
          <t>-</t>
        </is>
      </c>
      <c r="I139" s="24" t="inlineStr">
        <is>
          <t>1. 1,200,000, 0% down, 0%, 10 yrs.</t>
        </is>
      </c>
      <c r="J139" s="24" t="inlineStr">
        <is>
          <t>-</t>
        </is>
      </c>
      <c r="K139" s="24" t="inlineStr">
        <is>
          <t>PHP 10,000.00.</t>
        </is>
      </c>
      <c r="L139" s="24" t="inlineStr">
        <is>
          <t>New</t>
        </is>
      </c>
      <c r="M139" s="27" t="inlineStr">
        <is>
          <t>Not Run</t>
        </is>
      </c>
      <c r="N139" s="27" t="n"/>
      <c r="O139" s="27" t="n"/>
      <c r="P139" s="27" t="n"/>
      <c r="Q139" s="24" t="n"/>
    </row>
    <row r="140" ht="22.35" customHeight="1" s="18">
      <c r="A140" s="23" t="inlineStr">
        <is>
          <t>TC-ADM-001</t>
        </is>
      </c>
      <c r="B140" s="24" t="inlineStr">
        <is>
          <t>UC-36</t>
        </is>
      </c>
      <c r="C140" s="24" t="inlineStr">
        <is>
          <t>FR-016</t>
        </is>
      </c>
      <c r="D140" s="24" t="inlineStr">
        <is>
          <t>Admin Access &amp; Management</t>
        </is>
      </c>
      <c r="E140" s="24" t="inlineStr">
        <is>
          <t>Suspend and reinstate</t>
        </is>
      </c>
      <c r="F140" s="24" t="inlineStr">
        <is>
          <t>Functional</t>
        </is>
      </c>
      <c r="G140" s="24" t="inlineStr">
        <is>
          <t>Medium</t>
        </is>
      </c>
      <c r="H140" s="24" t="inlineStr">
        <is>
          <t>Admin</t>
        </is>
      </c>
      <c r="I140" s="24" t="inlineStr">
        <is>
          <t>1. Suspend user. 2. Reinstate.</t>
        </is>
      </c>
      <c r="J140" s="24" t="inlineStr">
        <is>
          <t>Test user</t>
        </is>
      </c>
      <c r="K140" s="24" t="inlineStr">
        <is>
          <t>Status toggles; suspended user blocked.</t>
        </is>
      </c>
      <c r="L140" s="24" t="inlineStr">
        <is>
          <t>Existing (QA doc)</t>
        </is>
      </c>
      <c r="M140" s="27" t="inlineStr">
        <is>
          <t>Passed (Dev)</t>
        </is>
      </c>
      <c r="N140" s="27" t="n"/>
      <c r="O140" s="27" t="n"/>
      <c r="P140" s="27" t="n"/>
      <c r="Q140" s="24" t="n"/>
    </row>
    <row r="141" ht="22.35" customHeight="1" s="18">
      <c r="A141" s="23" t="inlineStr">
        <is>
          <t>TC-ADM-002</t>
        </is>
      </c>
      <c r="B141" s="24" t="inlineStr">
        <is>
          <t>UC-35</t>
        </is>
      </c>
      <c r="C141" s="24" t="inlineStr">
        <is>
          <t>FR-016</t>
        </is>
      </c>
      <c r="D141" s="24" t="inlineStr">
        <is>
          <t>Admin Access &amp; Management</t>
        </is>
      </c>
      <c r="E141" s="24" t="inlineStr">
        <is>
          <t>Dashboard counts</t>
        </is>
      </c>
      <c r="F141" s="24" t="inlineStr">
        <is>
          <t>Functional</t>
        </is>
      </c>
      <c r="G141" s="24" t="inlineStr">
        <is>
          <t>Medium</t>
        </is>
      </c>
      <c r="H141" s="24" t="inlineStr">
        <is>
          <t>Admin</t>
        </is>
      </c>
      <c r="I141" s="24" t="inlineStr">
        <is>
          <t>1. Open Admin Dashboard.</t>
        </is>
      </c>
      <c r="J141" s="24" t="inlineStr">
        <is>
          <t>Seeded</t>
        </is>
      </c>
      <c r="K141" s="24" t="inlineStr">
        <is>
          <t>Pending listings + open disputes match Firestore.</t>
        </is>
      </c>
      <c r="L141" s="24" t="inlineStr">
        <is>
          <t>New</t>
        </is>
      </c>
      <c r="M141" s="27" t="inlineStr">
        <is>
          <t>Not Run</t>
        </is>
      </c>
      <c r="N141" s="27" t="n"/>
      <c r="O141" s="27" t="n"/>
      <c r="P141" s="27" t="n"/>
      <c r="Q141" s="24" t="n"/>
    </row>
    <row r="142" ht="22.35" customHeight="1" s="18">
      <c r="A142" s="23" t="inlineStr">
        <is>
          <t>TC-ADM-003</t>
        </is>
      </c>
      <c r="B142" s="24" t="inlineStr">
        <is>
          <t>UC-34</t>
        </is>
      </c>
      <c r="C142" s="24" t="inlineStr">
        <is>
          <t>FR-019</t>
        </is>
      </c>
      <c r="D142" s="24" t="inlineStr">
        <is>
          <t>Admin Access &amp; Management</t>
        </is>
      </c>
      <c r="E142" s="24" t="inlineStr">
        <is>
          <t>Active admin accesses /admin</t>
        </is>
      </c>
      <c r="F142" s="24" t="inlineStr">
        <is>
          <t>Functional</t>
        </is>
      </c>
      <c r="G142" s="24" t="inlineStr">
        <is>
          <t>High</t>
        </is>
      </c>
      <c r="H142" s="24" t="inlineStr">
        <is>
          <t>Active admin</t>
        </is>
      </c>
      <c r="I142" s="24" t="inlineStr">
        <is>
          <t>1. Open /admin and nested routes directly.</t>
        </is>
      </c>
      <c r="J142" s="24" t="inlineStr">
        <is>
          <t>-</t>
        </is>
      </c>
      <c r="K142" s="24" t="inlineStr">
        <is>
          <t>Loading status then admin UI renders.</t>
        </is>
      </c>
      <c r="L142" s="24" t="inlineStr">
        <is>
          <t>New</t>
        </is>
      </c>
      <c r="M142" s="27" t="inlineStr">
        <is>
          <t>Not Run</t>
        </is>
      </c>
      <c r="N142" s="27" t="n"/>
      <c r="O142" s="27" t="n"/>
      <c r="P142" s="27" t="n"/>
      <c r="Q142" s="24" t="inlineStr">
        <is>
          <t>P0.</t>
        </is>
      </c>
    </row>
    <row r="143" ht="22.35" customHeight="1" s="18">
      <c r="A143" s="23" t="inlineStr">
        <is>
          <t>TC-ADM-004</t>
        </is>
      </c>
      <c r="B143" s="24" t="inlineStr">
        <is>
          <t>UC-34</t>
        </is>
      </c>
      <c r="C143" s="24" t="inlineStr">
        <is>
          <t>FR-019</t>
        </is>
      </c>
      <c r="D143" s="24" t="inlineStr">
        <is>
          <t>Admin Access &amp; Management</t>
        </is>
      </c>
      <c r="E143" s="24" t="inlineStr">
        <is>
          <t>Regular user blocked</t>
        </is>
      </c>
      <c r="F143" s="24" t="inlineStr">
        <is>
          <t>Security</t>
        </is>
      </c>
      <c r="G143" s="24" t="inlineStr">
        <is>
          <t>High</t>
        </is>
      </c>
      <c r="H143" s="24" t="inlineStr">
        <is>
          <t>Regular user</t>
        </is>
      </c>
      <c r="I143" s="24" t="inlineStr">
        <is>
          <t>1. Open /admin/listings directly.</t>
        </is>
      </c>
      <c r="J143" s="24" t="inlineStr">
        <is>
          <t>-</t>
        </is>
      </c>
      <c r="K143" s="24" t="inlineStr">
        <is>
          <t>Redirected; no admin content flash.</t>
        </is>
      </c>
      <c r="L143" s="24" t="inlineStr">
        <is>
          <t>New</t>
        </is>
      </c>
      <c r="M143" s="27" t="inlineStr">
        <is>
          <t>Not Run</t>
        </is>
      </c>
      <c r="N143" s="27" t="n"/>
      <c r="O143" s="27" t="n"/>
      <c r="P143" s="27" t="n"/>
      <c r="Q143" s="24" t="n"/>
    </row>
    <row r="144" ht="22.35" customHeight="1" s="18">
      <c r="A144" s="23" t="inlineStr">
        <is>
          <t>TC-ADM-005</t>
        </is>
      </c>
      <c r="B144" s="24" t="inlineStr">
        <is>
          <t>UC-34</t>
        </is>
      </c>
      <c r="C144" s="24" t="inlineStr">
        <is>
          <t>FR-019</t>
        </is>
      </c>
      <c r="D144" s="24" t="inlineStr">
        <is>
          <t>Admin Access &amp; Management</t>
        </is>
      </c>
      <c r="E144" s="24" t="inlineStr">
        <is>
          <t>Suspended admin blocked</t>
        </is>
      </c>
      <c r="F144" s="24" t="inlineStr">
        <is>
          <t>Security</t>
        </is>
      </c>
      <c r="G144" s="24" t="inlineStr">
        <is>
          <t>High</t>
        </is>
      </c>
      <c r="H144" s="24" t="inlineStr">
        <is>
          <t>Admin with status suspended</t>
        </is>
      </c>
      <c r="I144" s="24" t="inlineStr">
        <is>
          <t>1. Open /admin.</t>
        </is>
      </c>
      <c r="J144" s="24" t="inlineStr">
        <is>
          <t>-</t>
        </is>
      </c>
      <c r="K144" s="24" t="inlineStr">
        <is>
          <t>Suspended screen.</t>
        </is>
      </c>
      <c r="L144" s="24" t="inlineStr">
        <is>
          <t>New</t>
        </is>
      </c>
      <c r="M144" s="27" t="inlineStr">
        <is>
          <t>Not Run</t>
        </is>
      </c>
      <c r="N144" s="27" t="n"/>
      <c r="O144" s="27" t="n"/>
      <c r="P144" s="27" t="n"/>
      <c r="Q144" s="24" t="n"/>
    </row>
    <row r="145" ht="22.35" customHeight="1" s="18">
      <c r="A145" s="23" t="inlineStr">
        <is>
          <t>TC-ADM-006</t>
        </is>
      </c>
      <c r="B145" s="24" t="inlineStr">
        <is>
          <t>UC-34</t>
        </is>
      </c>
      <c r="C145" s="24" t="inlineStr">
        <is>
          <t>FR-019</t>
        </is>
      </c>
      <c r="D145" s="24" t="inlineStr">
        <is>
          <t>Admin Access &amp; Management</t>
        </is>
      </c>
      <c r="E145" s="24" t="inlineStr">
        <is>
          <t>Missing/unreadable profile fails closed</t>
        </is>
      </c>
      <c r="F145" s="24" t="inlineStr">
        <is>
          <t>Security</t>
        </is>
      </c>
      <c r="G145" s="24" t="inlineStr">
        <is>
          <t>High</t>
        </is>
      </c>
      <c r="H145" s="24" t="inlineStr">
        <is>
          <t>Auth user without profile</t>
        </is>
      </c>
      <c r="I145" s="24" t="inlineStr">
        <is>
          <t>1. Open /admin.</t>
        </is>
      </c>
      <c r="J145" s="24" t="inlineStr">
        <is>
          <t>-</t>
        </is>
      </c>
      <c r="K145" s="24" t="inlineStr">
        <is>
          <t>Retryable verification message; no admin UI.</t>
        </is>
      </c>
      <c r="L145" s="24" t="inlineStr">
        <is>
          <t>New</t>
        </is>
      </c>
      <c r="M145" s="27" t="inlineStr">
        <is>
          <t>Not Run</t>
        </is>
      </c>
      <c r="N145" s="27" t="n"/>
      <c r="O145" s="27" t="n"/>
      <c r="P145" s="27" t="n"/>
      <c r="Q145" s="24" t="n"/>
    </row>
    <row r="146" ht="22.35" customHeight="1" s="18">
      <c r="A146" s="23" t="inlineStr">
        <is>
          <t>TC-ADM-007</t>
        </is>
      </c>
      <c r="B146" s="24" t="inlineStr">
        <is>
          <t>UC-34</t>
        </is>
      </c>
      <c r="C146" s="24" t="inlineStr">
        <is>
          <t>FR-019</t>
        </is>
      </c>
      <c r="D146" s="24" t="inlineStr">
        <is>
          <t>Admin Access &amp; Management</t>
        </is>
      </c>
      <c r="E146" s="24" t="inlineStr">
        <is>
          <t>Non-admin Firestore admin reads</t>
        </is>
      </c>
      <c r="F146" s="24" t="inlineStr">
        <is>
          <t>Security</t>
        </is>
      </c>
      <c r="G146" s="24" t="inlineStr">
        <is>
          <t>High</t>
        </is>
      </c>
      <c r="H146" s="24" t="inlineStr">
        <is>
          <t>Regular user</t>
        </is>
      </c>
      <c r="I146" s="24" t="inlineStr">
        <is>
          <t>1. Query pending listings / disputes directly.</t>
        </is>
      </c>
      <c r="J146" s="24" t="inlineStr">
        <is>
          <t>-</t>
        </is>
      </c>
      <c r="K146" s="24" t="inlineStr">
        <is>
          <t>Denied.</t>
        </is>
      </c>
      <c r="L146" s="24" t="inlineStr">
        <is>
          <t>New</t>
        </is>
      </c>
      <c r="M146" s="27" t="inlineStr">
        <is>
          <t>Not Run</t>
        </is>
      </c>
      <c r="N146" s="27" t="n"/>
      <c r="O146" s="27" t="n"/>
      <c r="P146" s="27" t="n"/>
      <c r="Q146" s="24" t="inlineStr">
        <is>
          <t>Unblocked 2026-10-01: rules deployed to trusthome-ph (commit a1fe48e). Run on the live test project.</t>
        </is>
      </c>
    </row>
    <row r="147" ht="22.35" customHeight="1" s="18">
      <c r="A147" s="23" t="inlineStr">
        <is>
          <t>TC-ADM-008</t>
        </is>
      </c>
      <c r="B147" s="24" t="inlineStr">
        <is>
          <t>UC-34</t>
        </is>
      </c>
      <c r="C147" s="24" t="inlineStr">
        <is>
          <t>FR-019</t>
        </is>
      </c>
      <c r="D147" s="24" t="inlineStr">
        <is>
          <t>Admin Access &amp; Management</t>
        </is>
      </c>
      <c r="E147" s="24" t="inlineStr">
        <is>
          <t>Admin guard unit tests</t>
        </is>
      </c>
      <c r="F147" s="24" t="inlineStr">
        <is>
          <t>Unit</t>
        </is>
      </c>
      <c r="G147" s="24" t="inlineStr">
        <is>
          <t>High</t>
        </is>
      </c>
      <c r="H147" s="24" t="inlineStr">
        <is>
          <t>-</t>
        </is>
      </c>
      <c r="I147" s="24" t="inlineStr">
        <is>
          <t>1. Run node --test.</t>
        </is>
      </c>
      <c r="J147" s="24" t="inlineStr">
        <is>
          <t>-</t>
        </is>
      </c>
      <c r="K147" s="24" t="inlineStr">
        <is>
          <t>5 access-state policy tests pass.</t>
        </is>
      </c>
      <c r="L147" s="24" t="inlineStr">
        <is>
          <t>New</t>
        </is>
      </c>
      <c r="M147" s="27" t="inlineStr">
        <is>
          <t>Passed</t>
        </is>
      </c>
      <c r="N147" s="27" t="n"/>
      <c r="O147" s="27" t="n"/>
      <c r="P147" s="27" t="n"/>
      <c r="Q147" s="24" t="inlineStr">
        <is>
          <t>Included in the 47 passing Node tests (Oct 1).</t>
        </is>
      </c>
    </row>
    <row r="148" ht="22.35" customHeight="1" s="18">
      <c r="A148" s="23" t="inlineStr">
        <is>
          <t>TC-ADM-009</t>
        </is>
      </c>
      <c r="B148" s="24" t="inlineStr">
        <is>
          <t>UC-36</t>
        </is>
      </c>
      <c r="C148" s="24" t="inlineStr">
        <is>
          <t>FR-016</t>
        </is>
      </c>
      <c r="D148" s="24" t="inlineStr">
        <is>
          <t>Admin Access &amp; Management</t>
        </is>
      </c>
      <c r="E148" s="24" t="inlineStr">
        <is>
          <t>Suspend requires confirmation</t>
        </is>
      </c>
      <c r="F148" s="24" t="inlineStr">
        <is>
          <t>UI</t>
        </is>
      </c>
      <c r="G148" s="24" t="inlineStr">
        <is>
          <t>Low</t>
        </is>
      </c>
      <c r="H148" s="24" t="inlineStr">
        <is>
          <t>Admin</t>
        </is>
      </c>
      <c r="I148" s="24" t="inlineStr">
        <is>
          <t>1. Click Suspend.</t>
        </is>
      </c>
      <c r="J148" s="24" t="inlineStr">
        <is>
          <t>-</t>
        </is>
      </c>
      <c r="K148" s="24" t="inlineStr">
        <is>
          <t>Danger-styled button + confirm step.</t>
        </is>
      </c>
      <c r="L148" s="24" t="inlineStr">
        <is>
          <t>New</t>
        </is>
      </c>
      <c r="M148" s="27" t="inlineStr">
        <is>
          <t>Not Run</t>
        </is>
      </c>
      <c r="N148" s="27" t="n"/>
      <c r="O148" s="27" t="n"/>
      <c r="P148" s="27" t="n"/>
      <c r="Q148" s="24" t="inlineStr">
        <is>
          <t>Design Guide B5.</t>
        </is>
      </c>
    </row>
    <row r="149" ht="15" customHeight="1" s="18">
      <c r="A149" s="23" t="inlineStr">
        <is>
          <t>TC-SEC-001</t>
        </is>
      </c>
      <c r="B149" s="24" t="inlineStr">
        <is>
          <t>UC-41</t>
        </is>
      </c>
      <c r="C149" s="24" t="inlineStr">
        <is>
          <t>FR-005</t>
        </is>
      </c>
      <c r="D149" s="24" t="inlineStr">
        <is>
          <t>Security (Firestore Rules)</t>
        </is>
      </c>
      <c r="E149" s="24" t="inlineStr">
        <is>
          <t>Renter confirms another's booking</t>
        </is>
      </c>
      <c r="F149" s="24" t="inlineStr">
        <is>
          <t>Security</t>
        </is>
      </c>
      <c r="G149" s="24" t="inlineStr">
        <is>
          <t>High</t>
        </is>
      </c>
      <c r="H149" s="24" t="inlineStr">
        <is>
          <t>Seeded booking</t>
        </is>
      </c>
      <c r="I149" s="24" t="inlineStr">
        <is>
          <t>1. Direct write status Confirmed.</t>
        </is>
      </c>
      <c r="J149" s="24" t="inlineStr">
        <is>
          <t>-</t>
        </is>
      </c>
      <c r="K149" s="24" t="inlineStr">
        <is>
          <t>Denied.</t>
        </is>
      </c>
      <c r="L149" s="24" t="inlineStr">
        <is>
          <t>Existing (QA doc)</t>
        </is>
      </c>
      <c r="M149" s="27" t="inlineStr">
        <is>
          <t>Not Run</t>
        </is>
      </c>
      <c r="N149" s="27" t="n"/>
      <c r="O149" s="27" t="n"/>
      <c r="P149" s="27" t="n"/>
      <c r="Q149" s="24" t="inlineStr">
        <is>
          <t>Unblocked 2026-10-01: rules deployed to trusthome-ph (commit a1fe48e). Run on the live test project.</t>
        </is>
      </c>
    </row>
    <row r="150" ht="15" customHeight="1" s="18">
      <c r="A150" s="23" t="inlineStr">
        <is>
          <t>TC-SEC-002</t>
        </is>
      </c>
      <c r="B150" s="24" t="inlineStr">
        <is>
          <t>UC-41</t>
        </is>
      </c>
      <c r="C150" s="24" t="inlineStr">
        <is>
          <t>FR-006</t>
        </is>
      </c>
      <c r="D150" s="24" t="inlineStr">
        <is>
          <t>Security (Firestore Rules)</t>
        </is>
      </c>
      <c r="E150" s="24" t="inlineStr">
        <is>
          <t>Owner confirms overlapping booking</t>
        </is>
      </c>
      <c r="F150" s="24" t="inlineStr">
        <is>
          <t>Security</t>
        </is>
      </c>
      <c r="G150" s="24" t="inlineStr">
        <is>
          <t>High</t>
        </is>
      </c>
      <c r="H150" s="24" t="inlineStr">
        <is>
          <t>Seeded overlap</t>
        </is>
      </c>
      <c r="I150" s="24" t="inlineStr">
        <is>
          <t>1. As owner, attempt a direct Firestore update of status to Confirmed. 2. Call the API to confirm an overlapping request.</t>
        </is>
      </c>
      <c r="J150" s="24" t="inlineStr">
        <is>
          <t>-</t>
        </is>
      </c>
      <c r="K150" s="24" t="inlineStr">
        <is>
          <t>Direct write denied by rules; API returns 409 and booking stays Pending.</t>
        </is>
      </c>
      <c r="L150" s="24" t="inlineStr">
        <is>
          <t>Existing (QA doc)</t>
        </is>
      </c>
      <c r="M150" s="27" t="inlineStr">
        <is>
          <t>Blocked</t>
        </is>
      </c>
      <c r="N150" s="27" t="n"/>
      <c r="O150" s="27" t="n"/>
      <c r="P150" s="27" t="n"/>
      <c r="Q150" s="24" t="inlineStr">
        <is>
          <t>Blocked by F-05: confirmation must go through the trusted API. Re-run as TC-API-005/006 plus a direct-write denial check.</t>
        </is>
      </c>
    </row>
    <row r="151" ht="22.35" customHeight="1" s="18">
      <c r="A151" s="23" t="inlineStr">
        <is>
          <t>TC-SEC-003</t>
        </is>
      </c>
      <c r="B151" s="24" t="inlineStr">
        <is>
          <t>UC-41</t>
        </is>
      </c>
      <c r="C151" s="24" t="inlineStr">
        <is>
          <t>FR-009</t>
        </is>
      </c>
      <c r="D151" s="24" t="inlineStr">
        <is>
          <t>Security (Firestore Rules)</t>
        </is>
      </c>
      <c r="E151" s="24" t="inlineStr">
        <is>
          <t>Non-admin resolves dispute; non-owner reads docs</t>
        </is>
      </c>
      <c r="F151" s="24" t="inlineStr">
        <is>
          <t>Security</t>
        </is>
      </c>
      <c r="G151" s="24" t="inlineStr">
        <is>
          <t>High</t>
        </is>
      </c>
      <c r="H151" s="24" t="inlineStr">
        <is>
          <t>Seeded</t>
        </is>
      </c>
      <c r="I151" s="24" t="inlineStr">
        <is>
          <t>1. Resolve as non-admin. 2. Read private fields.</t>
        </is>
      </c>
      <c r="J151" s="24" t="inlineStr">
        <is>
          <t>-</t>
        </is>
      </c>
      <c r="K151" s="24" t="inlineStr">
        <is>
          <t>Both denied.</t>
        </is>
      </c>
      <c r="L151" s="24" t="inlineStr">
        <is>
          <t>Existing (QA doc)</t>
        </is>
      </c>
      <c r="M151" s="27" t="inlineStr">
        <is>
          <t>Blocked</t>
        </is>
      </c>
      <c r="N151" s="27" t="n"/>
      <c r="O151" s="27" t="n"/>
      <c r="P151" s="27" t="n"/>
      <c r="Q151" s="24" t="inlineStr">
        <is>
          <t>Dispute part: run now. Document part blocked by F-16 (v1.4).</t>
        </is>
      </c>
    </row>
    <row r="152" ht="15" customHeight="1" s="18">
      <c r="A152" s="23" t="inlineStr">
        <is>
          <t>TC-SEC-004</t>
        </is>
      </c>
      <c r="B152" s="24" t="inlineStr">
        <is>
          <t>UC-30</t>
        </is>
      </c>
      <c r="C152" s="24" t="inlineStr">
        <is>
          <t>NFR-SEC</t>
        </is>
      </c>
      <c r="D152" s="24" t="inlineStr">
        <is>
          <t>Security (Firestore Rules)</t>
        </is>
      </c>
      <c r="E152" s="24" t="inlineStr">
        <is>
          <t>Secret not printed in logs</t>
        </is>
      </c>
      <c r="F152" s="24" t="inlineStr">
        <is>
          <t>Security</t>
        </is>
      </c>
      <c r="G152" s="24" t="inlineStr">
        <is>
          <t>High</t>
        </is>
      </c>
      <c r="H152" s="24" t="inlineStr">
        <is>
          <t>GitHub Actions</t>
        </is>
      </c>
      <c r="I152" s="24" t="inlineStr">
        <is>
          <t>1. Run workflow. 2. Inspect logs.</t>
        </is>
      </c>
      <c r="J152" s="24" t="inlineStr">
        <is>
          <t>-</t>
        </is>
      </c>
      <c r="K152" s="24" t="inlineStr">
        <is>
          <t>Secret masked; data + trustScores updated.</t>
        </is>
      </c>
      <c r="L152" s="24" t="inlineStr">
        <is>
          <t>Existing (QA doc)</t>
        </is>
      </c>
      <c r="M152" s="27" t="inlineStr">
        <is>
          <t>Not Run</t>
        </is>
      </c>
      <c r="N152" s="27" t="n"/>
      <c r="O152" s="27" t="n"/>
      <c r="P152" s="27" t="n"/>
      <c r="Q152" s="24" t="n"/>
    </row>
    <row r="153" ht="15" customHeight="1" s="18">
      <c r="A153" s="23" t="inlineStr">
        <is>
          <t>TC-SEC-005</t>
        </is>
      </c>
      <c r="B153" s="24" t="inlineStr">
        <is>
          <t>UC-41</t>
        </is>
      </c>
      <c r="C153" s="24" t="inlineStr">
        <is>
          <t>NFR-SEC</t>
        </is>
      </c>
      <c r="D153" s="24" t="inlineStr">
        <is>
          <t>Security (Firestore Rules)</t>
        </is>
      </c>
      <c r="E153" s="24" t="inlineStr">
        <is>
          <t>Unmatched collection deny-all</t>
        </is>
      </c>
      <c r="F153" s="24" t="inlineStr">
        <is>
          <t>Security</t>
        </is>
      </c>
      <c r="G153" s="24" t="inlineStr">
        <is>
          <t>Medium</t>
        </is>
      </c>
      <c r="H153" s="24" t="inlineStr">
        <is>
          <t>-</t>
        </is>
      </c>
      <c r="I153" s="24" t="inlineStr">
        <is>
          <t>1. Write to random collection.</t>
        </is>
      </c>
      <c r="J153" s="24" t="inlineStr">
        <is>
          <t>-</t>
        </is>
      </c>
      <c r="K153" s="24" t="inlineStr">
        <is>
          <t>Denied.</t>
        </is>
      </c>
      <c r="L153" s="24" t="inlineStr">
        <is>
          <t>New</t>
        </is>
      </c>
      <c r="M153" s="27" t="inlineStr">
        <is>
          <t>Not Run</t>
        </is>
      </c>
      <c r="N153" s="27" t="n"/>
      <c r="O153" s="27" t="n"/>
      <c r="P153" s="27" t="n"/>
      <c r="Q153" s="24" t="inlineStr">
        <is>
          <t>Unblocked 2026-10-01: rules deployed to trusthome-ph (commit a1fe48e). Run on the live test project.</t>
        </is>
      </c>
    </row>
    <row r="154" ht="15" customHeight="1" s="18">
      <c r="A154" s="23" t="inlineStr">
        <is>
          <t>TC-SEC-006</t>
        </is>
      </c>
      <c r="B154" s="24" t="inlineStr">
        <is>
          <t>UC-41</t>
        </is>
      </c>
      <c r="C154" s="24" t="inlineStr">
        <is>
          <t>FR-010</t>
        </is>
      </c>
      <c r="D154" s="24" t="inlineStr">
        <is>
          <t>Security (Firestore Rules)</t>
        </is>
      </c>
      <c r="E154" s="24" t="inlineStr">
        <is>
          <t>Client write to trustScores</t>
        </is>
      </c>
      <c r="F154" s="24" t="inlineStr">
        <is>
          <t>Security</t>
        </is>
      </c>
      <c r="G154" s="24" t="inlineStr">
        <is>
          <t>High</t>
        </is>
      </c>
      <c r="H154" s="24" t="inlineStr">
        <is>
          <t>User</t>
        </is>
      </c>
      <c r="I154" s="24" t="inlineStr">
        <is>
          <t>1. Direct write own listing score.</t>
        </is>
      </c>
      <c r="J154" s="24" t="inlineStr">
        <is>
          <t>-</t>
        </is>
      </c>
      <c r="K154" s="24" t="inlineStr">
        <is>
          <t>Denied.</t>
        </is>
      </c>
      <c r="L154" s="24" t="inlineStr">
        <is>
          <t>New</t>
        </is>
      </c>
      <c r="M154" s="27" t="inlineStr">
        <is>
          <t>Not Run</t>
        </is>
      </c>
      <c r="N154" s="27" t="n"/>
      <c r="O154" s="27" t="n"/>
      <c r="P154" s="27" t="n"/>
      <c r="Q154" s="24" t="inlineStr">
        <is>
          <t>Unblocked 2026-10-01: rules deployed to trusthome-ph (commit a1fe48e). Run on the live test project.</t>
        </is>
      </c>
    </row>
    <row r="155" ht="15" customHeight="1" s="18">
      <c r="A155" s="23" t="inlineStr">
        <is>
          <t>TC-SEC-007</t>
        </is>
      </c>
      <c r="B155" s="24" t="inlineStr">
        <is>
          <t>UC-41</t>
        </is>
      </c>
      <c r="C155" s="24" t="inlineStr">
        <is>
          <t>NFR-SEC</t>
        </is>
      </c>
      <c r="D155" s="24" t="inlineStr">
        <is>
          <t>Security (Firestore Rules)</t>
        </is>
      </c>
      <c r="E155" s="24" t="inlineStr">
        <is>
          <t>Rules compile and deploy</t>
        </is>
      </c>
      <c r="F155" s="24" t="inlineStr">
        <is>
          <t>Deployment</t>
        </is>
      </c>
      <c r="G155" s="24" t="inlineStr">
        <is>
          <t>Critical</t>
        </is>
      </c>
      <c r="H155" s="24" t="inlineStr">
        <is>
          <t>Firebase CLI</t>
        </is>
      </c>
      <c r="I155" s="24" t="inlineStr">
        <is>
          <t>1. firebase deploy --only firestore:rules.</t>
        </is>
      </c>
      <c r="J155" s="24" t="inlineStr">
        <is>
          <t>-</t>
        </is>
      </c>
      <c r="K155" s="24" t="inlineStr">
        <is>
          <t>Deploys without errors.</t>
        </is>
      </c>
      <c r="L155" s="24" t="inlineStr">
        <is>
          <t>New</t>
        </is>
      </c>
      <c r="M155" s="27" t="inlineStr">
        <is>
          <t>Passed</t>
        </is>
      </c>
      <c r="N155" s="27" t="inlineStr">
        <is>
          <t>Rules deployed to trusthome-ph without errors (commit a1fe48e).</t>
        </is>
      </c>
      <c r="O155" s="27" t="n"/>
      <c r="P155" s="27" t="inlineStr">
        <is>
          <t>2026-10-01</t>
        </is>
      </c>
      <c r="Q155" s="24" t="inlineStr">
        <is>
          <t>Deployed. Unblocked the rules-only cases.</t>
        </is>
      </c>
    </row>
    <row r="156" ht="15" customHeight="1" s="18">
      <c r="A156" s="23" t="inlineStr">
        <is>
          <t>TC-HARD-001</t>
        </is>
      </c>
      <c r="B156" s="24" t="inlineStr">
        <is>
          <t>UC-42</t>
        </is>
      </c>
      <c r="C156" s="24" t="inlineStr">
        <is>
          <t>NFR-REL</t>
        </is>
      </c>
      <c r="D156" s="24" t="inlineStr">
        <is>
          <t>Release &amp; Non-functional</t>
        </is>
      </c>
      <c r="E156" s="24" t="inlineStr">
        <is>
          <t>Lazy route fallback</t>
        </is>
      </c>
      <c r="F156" s="24" t="inlineStr">
        <is>
          <t>Functional</t>
        </is>
      </c>
      <c r="G156" s="24" t="inlineStr">
        <is>
          <t>Medium</t>
        </is>
      </c>
      <c r="H156" s="24" t="inlineStr">
        <is>
          <t>Throttled</t>
        </is>
      </c>
      <c r="I156" s="24" t="inlineStr">
        <is>
          <t>1. Navigate on slow 3G.</t>
        </is>
      </c>
      <c r="J156" s="24" t="inlineStr">
        <is>
          <t>-</t>
        </is>
      </c>
      <c r="K156" s="24" t="inlineStr">
        <is>
          <t>Accessible loading fallback.</t>
        </is>
      </c>
      <c r="L156" s="24" t="inlineStr">
        <is>
          <t>Existing (QA doc)</t>
        </is>
      </c>
      <c r="M156" s="27" t="inlineStr">
        <is>
          <t>Not Run</t>
        </is>
      </c>
      <c r="N156" s="27" t="n"/>
      <c r="O156" s="27" t="n"/>
      <c r="P156" s="27" t="n"/>
      <c r="Q156" s="24" t="n"/>
    </row>
    <row r="157" ht="15" customHeight="1" s="18">
      <c r="A157" s="23" t="inlineStr">
        <is>
          <t>TC-HARD-002</t>
        </is>
      </c>
      <c r="B157" s="24" t="inlineStr">
        <is>
          <t>UC-42</t>
        </is>
      </c>
      <c r="C157" s="24" t="inlineStr">
        <is>
          <t>NFR-REL</t>
        </is>
      </c>
      <c r="D157" s="24" t="inlineStr">
        <is>
          <t>Release &amp; Non-functional</t>
        </is>
      </c>
      <c r="E157" s="24" t="inlineStr">
        <is>
          <t>Error boundary</t>
        </is>
      </c>
      <c r="F157" s="24" t="inlineStr">
        <is>
          <t>Functional</t>
        </is>
      </c>
      <c r="G157" s="24" t="inlineStr">
        <is>
          <t>Medium</t>
        </is>
      </c>
      <c r="H157" s="24" t="inlineStr">
        <is>
          <t>Test build</t>
        </is>
      </c>
      <c r="I157" s="24" t="inlineStr">
        <is>
          <t>1. Trigger runtime error.</t>
        </is>
      </c>
      <c r="J157" s="24" t="inlineStr">
        <is>
          <t>-</t>
        </is>
      </c>
      <c r="K157" s="24" t="inlineStr">
        <is>
          <t>Error screen with Reload.</t>
        </is>
      </c>
      <c r="L157" s="24" t="inlineStr">
        <is>
          <t>Existing (QA doc)</t>
        </is>
      </c>
      <c r="M157" s="27" t="inlineStr">
        <is>
          <t>Not Run</t>
        </is>
      </c>
      <c r="N157" s="27" t="n"/>
      <c r="O157" s="27" t="n"/>
      <c r="P157" s="27" t="n"/>
      <c r="Q157" s="24" t="n"/>
    </row>
    <row r="158" ht="15" customHeight="1" s="18">
      <c r="A158" s="23" t="inlineStr">
        <is>
          <t>TC-HARD-003</t>
        </is>
      </c>
      <c r="B158" s="24" t="inlineStr">
        <is>
          <t>UC-35</t>
        </is>
      </c>
      <c r="C158" s="24" t="inlineStr">
        <is>
          <t>FR-016</t>
        </is>
      </c>
      <c r="D158" s="24" t="inlineStr">
        <is>
          <t>Release &amp; Non-functional</t>
        </is>
      </c>
      <c r="E158" s="24" t="inlineStr">
        <is>
          <t>Admin retry after load error</t>
        </is>
      </c>
      <c r="F158" s="24" t="inlineStr">
        <is>
          <t>Functional</t>
        </is>
      </c>
      <c r="G158" s="24" t="inlineStr">
        <is>
          <t>Medium</t>
        </is>
      </c>
      <c r="H158" s="24" t="inlineStr">
        <is>
          <t>Admin</t>
        </is>
      </c>
      <c r="I158" s="24" t="inlineStr">
        <is>
          <t>1. Block Firestore. 2. Open dashboard. 3. Retry.</t>
        </is>
      </c>
      <c r="J158" s="24" t="inlineStr">
        <is>
          <t>-</t>
        </is>
      </c>
      <c r="K158" s="24" t="inlineStr">
        <is>
          <t>Error + Retry; loads after.</t>
        </is>
      </c>
      <c r="L158" s="24" t="inlineStr">
        <is>
          <t>Existing (QA doc)</t>
        </is>
      </c>
      <c r="M158" s="27" t="inlineStr">
        <is>
          <t>Not Run</t>
        </is>
      </c>
      <c r="N158" s="27" t="n"/>
      <c r="O158" s="27" t="n"/>
      <c r="P158" s="27" t="n"/>
      <c r="Q158" s="24" t="inlineStr">
        <is>
          <t>BUG-001 regression.</t>
        </is>
      </c>
    </row>
    <row r="159" ht="15" customHeight="1" s="18">
      <c r="A159" s="23" t="inlineStr">
        <is>
          <t>TC-AUTO-001</t>
        </is>
      </c>
      <c r="B159" s="24" t="inlineStr">
        <is>
          <t>-</t>
        </is>
      </c>
      <c r="C159" s="24" t="inlineStr">
        <is>
          <t>All</t>
        </is>
      </c>
      <c r="D159" s="24" t="inlineStr">
        <is>
          <t>Release &amp; Non-functional</t>
        </is>
      </c>
      <c r="E159" s="24" t="inlineStr">
        <is>
          <t>node --test</t>
        </is>
      </c>
      <c r="F159" s="24" t="inlineStr">
        <is>
          <t>Unit</t>
        </is>
      </c>
      <c r="G159" s="24" t="inlineStr">
        <is>
          <t>High</t>
        </is>
      </c>
      <c r="H159" s="24" t="inlineStr">
        <is>
          <t>dev</t>
        </is>
      </c>
      <c r="I159" s="24" t="inlineStr">
        <is>
          <t>Run node --test.</t>
        </is>
      </c>
      <c r="J159" s="24" t="inlineStr">
        <is>
          <t>-</t>
        </is>
      </c>
      <c r="K159" s="24" t="inlineStr">
        <is>
          <t>All pass.</t>
        </is>
      </c>
      <c r="L159" s="24" t="inlineStr">
        <is>
          <t>Updated</t>
        </is>
      </c>
      <c r="M159" s="27" t="inlineStr">
        <is>
          <t>Passed</t>
        </is>
      </c>
      <c r="N159" s="27" t="n"/>
      <c r="O159" s="27" t="n"/>
      <c r="P159" s="27" t="n"/>
      <c r="Q159" s="24" t="inlineStr">
        <is>
          <t>Now 47/47 (Oct 1; was 33).</t>
        </is>
      </c>
    </row>
    <row r="160" ht="15" customHeight="1" s="18">
      <c r="A160" s="23" t="inlineStr">
        <is>
          <t>TC-AUTO-002</t>
        </is>
      </c>
      <c r="B160" s="24" t="inlineStr">
        <is>
          <t>-</t>
        </is>
      </c>
      <c r="C160" s="24" t="inlineStr">
        <is>
          <t>All</t>
        </is>
      </c>
      <c r="D160" s="24" t="inlineStr">
        <is>
          <t>Release &amp; Non-functional</t>
        </is>
      </c>
      <c r="E160" s="24" t="inlineStr">
        <is>
          <t>npm run lint</t>
        </is>
      </c>
      <c r="F160" s="24" t="inlineStr">
        <is>
          <t>Static</t>
        </is>
      </c>
      <c r="G160" s="24" t="inlineStr">
        <is>
          <t>High</t>
        </is>
      </c>
      <c r="H160" s="24" t="inlineStr">
        <is>
          <t>dev</t>
        </is>
      </c>
      <c r="I160" s="24" t="inlineStr">
        <is>
          <t>Run lint.</t>
        </is>
      </c>
      <c r="J160" s="24" t="inlineStr">
        <is>
          <t>-</t>
        </is>
      </c>
      <c r="K160" s="24" t="inlineStr">
        <is>
          <t>No errors.</t>
        </is>
      </c>
      <c r="L160" s="24" t="inlineStr">
        <is>
          <t>Existing (QA doc)</t>
        </is>
      </c>
      <c r="M160" s="27" t="inlineStr">
        <is>
          <t>Passed</t>
        </is>
      </c>
      <c r="N160" s="27" t="n"/>
      <c r="O160" s="27" t="n"/>
      <c r="P160" s="27" t="n"/>
      <c r="Q160" s="24" t="n"/>
    </row>
    <row r="161" ht="15" customHeight="1" s="18">
      <c r="A161" s="23" t="inlineStr">
        <is>
          <t>TC-AUTO-003</t>
        </is>
      </c>
      <c r="B161" s="24" t="inlineStr">
        <is>
          <t>-</t>
        </is>
      </c>
      <c r="C161" s="24" t="inlineStr">
        <is>
          <t>All</t>
        </is>
      </c>
      <c r="D161" s="24" t="inlineStr">
        <is>
          <t>Release &amp; Non-functional</t>
        </is>
      </c>
      <c r="E161" s="24" t="inlineStr">
        <is>
          <t>npm run build</t>
        </is>
      </c>
      <c r="F161" s="24" t="inlineStr">
        <is>
          <t>Build</t>
        </is>
      </c>
      <c r="G161" s="24" t="inlineStr">
        <is>
          <t>High</t>
        </is>
      </c>
      <c r="H161" s="24" t="inlineStr">
        <is>
          <t>dev</t>
        </is>
      </c>
      <c r="I161" s="24" t="inlineStr">
        <is>
          <t>Run build.</t>
        </is>
      </c>
      <c r="J161" s="24" t="inlineStr">
        <is>
          <t>-</t>
        </is>
      </c>
      <c r="K161" s="24" t="inlineStr">
        <is>
          <t>Succeeds; no large-bundle warning.</t>
        </is>
      </c>
      <c r="L161" s="24" t="inlineStr">
        <is>
          <t>Updated</t>
        </is>
      </c>
      <c r="M161" s="27" t="inlineStr">
        <is>
          <t>Passed</t>
        </is>
      </c>
      <c r="N161" s="27" t="n"/>
      <c r="O161" s="27" t="n"/>
      <c r="P161" s="27" t="n"/>
      <c r="Q161" s="24" t="inlineStr">
        <is>
          <t>Vendor chunk split resolved BUG-007.</t>
        </is>
      </c>
    </row>
    <row r="162" ht="15" customHeight="1" s="18">
      <c r="A162" s="23" t="inlineStr">
        <is>
          <t>TC-AUTO-004</t>
        </is>
      </c>
      <c r="B162" s="24" t="inlineStr">
        <is>
          <t>-</t>
        </is>
      </c>
      <c r="C162" s="24" t="inlineStr">
        <is>
          <t>All</t>
        </is>
      </c>
      <c r="D162" s="24" t="inlineStr">
        <is>
          <t>Release &amp; Non-functional</t>
        </is>
      </c>
      <c r="E162" s="24" t="inlineStr">
        <is>
          <t>Python unittest</t>
        </is>
      </c>
      <c r="F162" s="24" t="inlineStr">
        <is>
          <t>Unit</t>
        </is>
      </c>
      <c r="G162" s="24" t="inlineStr">
        <is>
          <t>High</t>
        </is>
      </c>
      <c r="H162" s="24" t="inlineStr">
        <is>
          <t>bank_scraper</t>
        </is>
      </c>
      <c r="I162" s="24" t="inlineStr">
        <is>
          <t>Run unittest discover.</t>
        </is>
      </c>
      <c r="J162" s="24" t="inlineStr">
        <is>
          <t>-</t>
        </is>
      </c>
      <c r="K162" s="24" t="inlineStr">
        <is>
          <t>All pass.</t>
        </is>
      </c>
      <c r="L162" s="24" t="inlineStr">
        <is>
          <t>Updated</t>
        </is>
      </c>
      <c r="M162" s="27" t="inlineStr">
        <is>
          <t>Passed</t>
        </is>
      </c>
      <c r="N162" s="27" t="n"/>
      <c r="O162" s="27" t="n"/>
      <c r="P162" s="27" t="n"/>
      <c r="Q162" s="24" t="inlineStr">
        <is>
          <t>Now 23/23 (Oct 1; was 14).</t>
        </is>
      </c>
    </row>
    <row r="163" ht="15" customHeight="1" s="18">
      <c r="A163" s="23" t="inlineStr">
        <is>
          <t>TC-AUTO-005</t>
        </is>
      </c>
      <c r="B163" s="24" t="inlineStr">
        <is>
          <t>UC-39</t>
        </is>
      </c>
      <c r="C163" s="24" t="inlineStr">
        <is>
          <t>NFR</t>
        </is>
      </c>
      <c r="D163" s="24" t="inlineStr">
        <is>
          <t>Release &amp; Non-functional</t>
        </is>
      </c>
      <c r="E163" s="24" t="inlineStr">
        <is>
          <t>Seed demo data</t>
        </is>
      </c>
      <c r="F163" s="24" t="inlineStr">
        <is>
          <t>Integration</t>
        </is>
      </c>
      <c r="G163" s="24" t="inlineStr">
        <is>
          <t>Medium</t>
        </is>
      </c>
      <c r="H163" s="24" t="inlineStr">
        <is>
          <t>Live project</t>
        </is>
      </c>
      <c r="I163" s="24" t="inlineStr">
        <is>
          <t>Dry run then seed.</t>
        </is>
      </c>
      <c r="J163" s="24" t="inlineStr">
        <is>
          <t>-</t>
        </is>
      </c>
      <c r="K163" s="24" t="inlineStr">
        <is>
          <t>Synthetic data created; no real IDs/Auth users.</t>
        </is>
      </c>
      <c r="L163" s="24" t="inlineStr">
        <is>
          <t>Existing (QA doc)</t>
        </is>
      </c>
      <c r="M163" s="27" t="inlineStr">
        <is>
          <t>Passed</t>
        </is>
      </c>
      <c r="N163" s="27" t="n"/>
      <c r="O163" s="27" t="n"/>
      <c r="P163" s="27" t="n"/>
      <c r="Q163" s="24" t="inlineStr">
        <is>
          <t>Re-run in smoke test.</t>
        </is>
      </c>
    </row>
    <row r="164" ht="22.35" customHeight="1" s="18">
      <c r="A164" s="23" t="inlineStr">
        <is>
          <t>TC-UI-001</t>
        </is>
      </c>
      <c r="B164" s="24" t="inlineStr">
        <is>
          <t>-</t>
        </is>
      </c>
      <c r="C164" s="24" t="inlineStr">
        <is>
          <t>NFR-USE</t>
        </is>
      </c>
      <c r="D164" s="24" t="inlineStr">
        <is>
          <t>Release &amp; Non-functional</t>
        </is>
      </c>
      <c r="E164" s="24" t="inlineStr">
        <is>
          <t>Cross-browser &amp; viewport walkthrough</t>
        </is>
      </c>
      <c r="F164" s="24" t="inlineStr">
        <is>
          <t>UAT</t>
        </is>
      </c>
      <c r="G164" s="24" t="inlineStr">
        <is>
          <t>High</t>
        </is>
      </c>
      <c r="H164" s="24" t="inlineStr">
        <is>
          <t>Deployed build</t>
        </is>
      </c>
      <c r="I164" s="24" t="inlineStr">
        <is>
          <t>User pages at 390 px, admin at 1280 px in Chrome, Edge, Firefox, mobile.</t>
        </is>
      </c>
      <c r="J164" s="24" t="inlineStr">
        <is>
          <t>-</t>
        </is>
      </c>
      <c r="K164" s="24" t="inlineStr">
        <is>
          <t>Layouts intact; 44 px targets; focus visible; labeled statuses.</t>
        </is>
      </c>
      <c r="L164" s="24" t="inlineStr">
        <is>
          <t>Existing (QA doc)</t>
        </is>
      </c>
      <c r="M164" s="27" t="inlineStr">
        <is>
          <t>Not Run</t>
        </is>
      </c>
      <c r="N164" s="27" t="n"/>
      <c r="O164" s="27" t="n"/>
      <c r="P164" s="27" t="n"/>
      <c r="Q164" s="24" t="n"/>
    </row>
    <row r="165" ht="22.35" customHeight="1" s="18">
      <c r="A165" s="23" t="inlineStr">
        <is>
          <t>TC-UI-002</t>
        </is>
      </c>
      <c r="B165" s="24" t="inlineStr">
        <is>
          <t>-</t>
        </is>
      </c>
      <c r="C165" s="24" t="inlineStr">
        <is>
          <t>NFR-USE</t>
        </is>
      </c>
      <c r="D165" s="24" t="inlineStr">
        <is>
          <t>Release &amp; Non-functional</t>
        </is>
      </c>
      <c r="E165" s="24" t="inlineStr">
        <is>
          <t>Accessibility checks</t>
        </is>
      </c>
      <c r="F165" s="24" t="inlineStr">
        <is>
          <t>UAT</t>
        </is>
      </c>
      <c r="G165" s="24" t="inlineStr">
        <is>
          <t>Medium</t>
        </is>
      </c>
      <c r="H165" s="24" t="inlineStr">
        <is>
          <t>Deployed build</t>
        </is>
      </c>
      <c r="I165" s="24" t="inlineStr">
        <is>
          <t>1. Keyboard-only navigation. 2. Contrast audit (Lighthouse/axe). 3. Photo alt text.</t>
        </is>
      </c>
      <c r="J165" s="24" t="inlineStr">
        <is>
          <t>-</t>
        </is>
      </c>
      <c r="K165" s="24" t="inlineStr">
        <is>
          <t>WCAG AA contrast; status never color-only; alt text present.</t>
        </is>
      </c>
      <c r="L165" s="24" t="inlineStr">
        <is>
          <t>New</t>
        </is>
      </c>
      <c r="M165" s="27" t="inlineStr">
        <is>
          <t>Not Run</t>
        </is>
      </c>
      <c r="N165" s="27" t="n"/>
      <c r="O165" s="27" t="n"/>
      <c r="P165" s="27" t="n"/>
      <c r="Q165" s="24" t="inlineStr">
        <is>
          <t>Design Guide B7.</t>
        </is>
      </c>
    </row>
    <row r="166" ht="15" customHeight="1" s="18">
      <c r="A166" s="23" t="inlineStr">
        <is>
          <t>TC-UI-003</t>
        </is>
      </c>
      <c r="B166" s="24" t="inlineStr">
        <is>
          <t>-</t>
        </is>
      </c>
      <c r="C166" s="24" t="inlineStr">
        <is>
          <t>NFR-USE</t>
        </is>
      </c>
      <c r="D166" s="24" t="inlineStr">
        <is>
          <t>Release &amp; Non-functional</t>
        </is>
      </c>
      <c r="E166" s="24" t="inlineStr">
        <is>
          <t>Button states and padding</t>
        </is>
      </c>
      <c r="F166" s="24" t="inlineStr">
        <is>
          <t>UI</t>
        </is>
      </c>
      <c r="G166" s="24" t="inlineStr">
        <is>
          <t>Low</t>
        </is>
      </c>
      <c r="H166" s="24" t="inlineStr">
        <is>
          <t>-</t>
        </is>
      </c>
      <c r="I166" s="24" t="inlineStr">
        <is>
          <t>1. Hover/press/disable buttons.</t>
        </is>
      </c>
      <c r="J166" s="24" t="inlineStr">
        <is>
          <t>-</t>
        </is>
      </c>
      <c r="K166" s="24" t="inlineStr">
        <is>
          <t>States visible; consistent horizontal padding.</t>
        </is>
      </c>
      <c r="L166" s="24" t="inlineStr">
        <is>
          <t>New</t>
        </is>
      </c>
      <c r="M166" s="27" t="inlineStr">
        <is>
          <t>Not Run</t>
        </is>
      </c>
      <c r="N166" s="27" t="n"/>
      <c r="O166" s="27" t="n"/>
      <c r="P166" s="27" t="n"/>
      <c r="Q166" s="24" t="inlineStr">
        <is>
          <t>Cleanup 2026-09-30.</t>
        </is>
      </c>
    </row>
    <row r="167" ht="43.25" customHeight="1" s="18">
      <c r="A167" s="23" t="inlineStr">
        <is>
          <t>TC-E2E-001</t>
        </is>
      </c>
      <c r="B167" s="24" t="inlineStr">
        <is>
          <t>-</t>
        </is>
      </c>
      <c r="C167" s="24" t="inlineStr">
        <is>
          <t>All</t>
        </is>
      </c>
      <c r="D167" s="24" t="inlineStr">
        <is>
          <t>Release &amp; Non-functional</t>
        </is>
      </c>
      <c r="E167" s="24" t="inlineStr">
        <is>
          <t>End-to-end renter–owner–admin smoke test</t>
        </is>
      </c>
      <c r="F167" s="24" t="inlineStr">
        <is>
          <t>E2E</t>
        </is>
      </c>
      <c r="G167" s="24" t="inlineStr">
        <is>
          <t>Critical</t>
        </is>
      </c>
      <c r="H167" s="24" t="inlineStr">
        <is>
          <t>Deployed build + rules</t>
        </is>
      </c>
      <c r="I167" s="24" t="inlineStr">
        <is>
          <t>1. Owner lists. 2. Admin approves. 3. Renter books. 4. Owner confirms. 5. Renter logs deposit, views address. 6. Renter completes + rates. 7. Workflow recomputes. 8. Second booking disputed + resolved.</t>
        </is>
      </c>
      <c r="J167" s="24" t="inlineStr">
        <is>
          <t>Test accounts</t>
        </is>
      </c>
      <c r="K167" s="24" t="inlineStr">
        <is>
          <t>Every step succeeds; correct notifications; statuses consistent.</t>
        </is>
      </c>
      <c r="L167" s="24" t="inlineStr">
        <is>
          <t>New</t>
        </is>
      </c>
      <c r="M167" s="27" t="inlineStr">
        <is>
          <t>Not Run</t>
        </is>
      </c>
      <c r="N167" s="27" t="n"/>
      <c r="O167" s="27" t="n"/>
      <c r="P167" s="27" t="n"/>
      <c r="Q167" s="24" t="inlineStr">
        <is>
          <t>Run after v1.4 deploy (API + private documents). Use the test-account matrix in QA &amp; Testing Strategy §5.</t>
        </is>
      </c>
    </row>
    <row r="168">
      <c r="A168" s="25" t="inlineStr">
        <is>
          <t>TC-PURP-001</t>
        </is>
      </c>
      <c r="B168" s="26" t="inlineStr">
        <is>
          <t>UC-43</t>
        </is>
      </c>
      <c r="C168" s="26" t="inlineStr">
        <is>
          <t>FR-025</t>
        </is>
      </c>
      <c r="D168" s="26" t="inlineStr">
        <is>
          <t>Listing Purpose</t>
        </is>
      </c>
      <c r="E168" s="26" t="inlineStr">
        <is>
          <t>Short-term rental listing</t>
        </is>
      </c>
      <c r="F168" s="26" t="inlineStr">
        <is>
          <t>Functional</t>
        </is>
      </c>
      <c r="G168" s="26" t="inlineStr">
        <is>
          <t>High</t>
        </is>
      </c>
      <c r="H168" s="26" t="inlineStr">
        <is>
          <t>Signed in</t>
        </is>
      </c>
      <c r="I168" s="26" t="inlineStr">
        <is>
          <t>1. Create listing. 2. Choose For rent -&gt; Short-term. 3. Enter nightly price. 4. Submit.</t>
        </is>
      </c>
      <c r="J168" s="26" t="inlineStr">
        <is>
          <t>Nightly price 2,500</t>
        </is>
      </c>
      <c r="K168" s="26" t="inlineStr">
        <is>
          <t>Listing saved with purpose rent + nightly period; Browse/Detail show "per night".</t>
        </is>
      </c>
      <c r="L168" s="26" t="inlineStr">
        <is>
          <t>New</t>
        </is>
      </c>
      <c r="M168" s="28" t="inlineStr">
        <is>
          <t>Not Run</t>
        </is>
      </c>
      <c r="N168" s="28" t="n"/>
      <c r="O168" s="28" t="n"/>
      <c r="P168" s="28" t="n"/>
      <c r="Q168" s="26" t="n"/>
    </row>
    <row r="169">
      <c r="A169" s="25" t="inlineStr">
        <is>
          <t>TC-PURP-002</t>
        </is>
      </c>
      <c r="B169" s="26" t="inlineStr">
        <is>
          <t>UC-43</t>
        </is>
      </c>
      <c r="C169" s="26" t="inlineStr">
        <is>
          <t>FR-025</t>
        </is>
      </c>
      <c r="D169" s="26" t="inlineStr">
        <is>
          <t>Listing Purpose</t>
        </is>
      </c>
      <c r="E169" s="26" t="inlineStr">
        <is>
          <t>Long-term rental listing</t>
        </is>
      </c>
      <c r="F169" s="26" t="inlineStr">
        <is>
          <t>Functional</t>
        </is>
      </c>
      <c r="G169" s="26" t="inlineStr">
        <is>
          <t>High</t>
        </is>
      </c>
      <c r="H169" s="26" t="inlineStr">
        <is>
          <t>Signed in</t>
        </is>
      </c>
      <c r="I169" s="26" t="inlineStr">
        <is>
          <t>1. Choose For rent -&gt; Long-term. 2. Enter monthly rent. 3. Submit.</t>
        </is>
      </c>
      <c r="J169" s="26" t="inlineStr">
        <is>
          <t>Monthly rent 18,000</t>
        </is>
      </c>
      <c r="K169" s="26" t="inlineStr">
        <is>
          <t>Saved with monthly period; shown as "/month".</t>
        </is>
      </c>
      <c r="L169" s="26" t="inlineStr">
        <is>
          <t>New</t>
        </is>
      </c>
      <c r="M169" s="28" t="inlineStr">
        <is>
          <t>Not Run</t>
        </is>
      </c>
      <c r="N169" s="28" t="n"/>
      <c r="O169" s="28" t="n"/>
      <c r="P169" s="28" t="n"/>
      <c r="Q169" s="26" t="n"/>
    </row>
    <row r="170">
      <c r="A170" s="25" t="inlineStr">
        <is>
          <t>TC-PURP-003</t>
        </is>
      </c>
      <c r="B170" s="26" t="inlineStr">
        <is>
          <t>UC-43</t>
        </is>
      </c>
      <c r="C170" s="26" t="inlineStr">
        <is>
          <t>FR-025</t>
        </is>
      </c>
      <c r="D170" s="26" t="inlineStr">
        <is>
          <t>Listing Purpose</t>
        </is>
      </c>
      <c r="E170" s="26" t="inlineStr">
        <is>
          <t>Sale listing cannot be booked</t>
        </is>
      </c>
      <c r="F170" s="26" t="inlineStr">
        <is>
          <t>Negative</t>
        </is>
      </c>
      <c r="G170" s="26" t="inlineStr">
        <is>
          <t>High</t>
        </is>
      </c>
      <c r="H170" s="26" t="inlineStr">
        <is>
          <t>Verified sale listing</t>
        </is>
      </c>
      <c r="I170" s="26" t="inlineStr">
        <is>
          <t>1. Open sale listing as renter. 2. Try to request booking (UI and direct write).</t>
        </is>
      </c>
      <c r="J170" s="26" t="inlineStr">
        <is>
          <t>Sale listing</t>
        </is>
      </c>
      <c r="K170" s="26" t="inlineStr">
        <is>
          <t>No booking control shown; direct booking create denied by rules.</t>
        </is>
      </c>
      <c r="L170" s="26" t="inlineStr">
        <is>
          <t>New</t>
        </is>
      </c>
      <c r="M170" s="28" t="inlineStr">
        <is>
          <t>Not Run</t>
        </is>
      </c>
      <c r="N170" s="28" t="n"/>
      <c r="O170" s="28" t="n"/>
      <c r="P170" s="28" t="n"/>
      <c r="Q170" s="26" t="n"/>
    </row>
    <row r="171">
      <c r="A171" s="25" t="inlineStr">
        <is>
          <t>TC-PURP-004</t>
        </is>
      </c>
      <c r="B171" s="26" t="inlineStr">
        <is>
          <t>UC-43</t>
        </is>
      </c>
      <c r="C171" s="26" t="inlineStr">
        <is>
          <t>FR-025</t>
        </is>
      </c>
      <c r="D171" s="26" t="inlineStr">
        <is>
          <t>Listing Purpose</t>
        </is>
      </c>
      <c r="E171" s="26" t="inlineStr">
        <is>
          <t>Purpose required</t>
        </is>
      </c>
      <c r="F171" s="26" t="inlineStr">
        <is>
          <t>Negative</t>
        </is>
      </c>
      <c r="G171" s="26" t="inlineStr">
        <is>
          <t>Medium</t>
        </is>
      </c>
      <c r="H171" s="26" t="inlineStr">
        <is>
          <t>Signed in</t>
        </is>
      </c>
      <c r="I171" s="26" t="inlineStr">
        <is>
          <t>1. Leave purpose unselected. 2. Submit.</t>
        </is>
      </c>
      <c r="J171" s="26" t="inlineStr">
        <is>
          <t>-</t>
        </is>
      </c>
      <c r="K171" s="26" t="inlineStr">
        <is>
          <t>Inline error; submission blocked.</t>
        </is>
      </c>
      <c r="L171" s="26" t="inlineStr">
        <is>
          <t>New</t>
        </is>
      </c>
      <c r="M171" s="28" t="inlineStr">
        <is>
          <t>Not Run</t>
        </is>
      </c>
      <c r="N171" s="28" t="n"/>
      <c r="O171" s="28" t="n"/>
      <c r="P171" s="28" t="n"/>
      <c r="Q171" s="26" t="n"/>
    </row>
    <row r="172">
      <c r="A172" s="25" t="inlineStr">
        <is>
          <t>TC-PURP-005</t>
        </is>
      </c>
      <c r="B172" s="26" t="inlineStr">
        <is>
          <t>UC-43</t>
        </is>
      </c>
      <c r="C172" s="26" t="inlineStr">
        <is>
          <t>FR-025</t>
        </is>
      </c>
      <c r="D172" s="26" t="inlineStr">
        <is>
          <t>Listing Purpose</t>
        </is>
      </c>
      <c r="E172" s="26" t="inlineStr">
        <is>
          <t>Purpose visible everywhere</t>
        </is>
      </c>
      <c r="F172" s="26" t="inlineStr">
        <is>
          <t>UI</t>
        </is>
      </c>
      <c r="G172" s="26" t="inlineStr">
        <is>
          <t>Medium</t>
        </is>
      </c>
      <c r="H172" s="26" t="inlineStr">
        <is>
          <t>Listings of each purpose</t>
        </is>
      </c>
      <c r="I172" s="26" t="inlineStr">
        <is>
          <t>1. Check Browse, Detail, Admin review, My Listings.</t>
        </is>
      </c>
      <c r="J172" s="26" t="inlineStr">
        <is>
          <t>3 listings</t>
        </is>
      </c>
      <c r="K172" s="26" t="inlineStr">
        <is>
          <t>Purpose chip and correct price label on all four pages.</t>
        </is>
      </c>
      <c r="L172" s="26" t="inlineStr">
        <is>
          <t>New</t>
        </is>
      </c>
      <c r="M172" s="28" t="inlineStr">
        <is>
          <t>Not Run</t>
        </is>
      </c>
      <c r="N172" s="28" t="n"/>
      <c r="O172" s="28" t="n"/>
      <c r="P172" s="28" t="n"/>
      <c r="Q172" s="26" t="n"/>
    </row>
    <row r="173">
      <c r="A173" s="25" t="inlineStr">
        <is>
          <t>TC-PURP-006</t>
        </is>
      </c>
      <c r="B173" s="26" t="inlineStr">
        <is>
          <t>UC-25</t>
        </is>
      </c>
      <c r="C173" s="26" t="inlineStr">
        <is>
          <t>FR-025</t>
        </is>
      </c>
      <c r="D173" s="26" t="inlineStr">
        <is>
          <t>Listing Purpose</t>
        </is>
      </c>
      <c r="E173" s="26" t="inlineStr">
        <is>
          <t>Fairness comparison excludes sale and mismatched periods</t>
        </is>
      </c>
      <c r="F173" s="26" t="inlineStr">
        <is>
          <t>Functional</t>
        </is>
      </c>
      <c r="G173" s="26" t="inlineStr">
        <is>
          <t>High</t>
        </is>
      </c>
      <c r="H173" s="26" t="inlineStr">
        <is>
          <t>Mixed seed data</t>
        </is>
      </c>
      <c r="I173" s="26" t="inlineStr">
        <is>
          <t>1. Run trust recompute. 2. Inspect comparables for a monthly rental.</t>
        </is>
      </c>
      <c r="J173" s="26" t="inlineStr">
        <is>
          <t>Seed set with sale + nightly + monthly</t>
        </is>
      </c>
      <c r="K173" s="26" t="inlineStr">
        <is>
          <t>Only rentals with the same price period are comparables.</t>
        </is>
      </c>
      <c r="L173" s="26" t="inlineStr">
        <is>
          <t>New</t>
        </is>
      </c>
      <c r="M173" s="28" t="inlineStr">
        <is>
          <t>Not Run</t>
        </is>
      </c>
      <c r="N173" s="28" t="n"/>
      <c r="O173" s="28" t="n"/>
      <c r="P173" s="28" t="n"/>
      <c r="Q173" s="26" t="n"/>
    </row>
    <row r="174">
      <c r="A174" s="25" t="inlineStr">
        <is>
          <t>TC-NOTIF-012</t>
        </is>
      </c>
      <c r="B174" s="26" t="inlineStr">
        <is>
          <t>UC-44</t>
        </is>
      </c>
      <c r="C174" s="26" t="inlineStr">
        <is>
          <t>FR-026</t>
        </is>
      </c>
      <c r="D174" s="26" t="inlineStr">
        <is>
          <t>Notifications</t>
        </is>
      </c>
      <c r="E174" s="26" t="inlineStr">
        <is>
          <t>Admin alert on listing submission</t>
        </is>
      </c>
      <c r="F174" s="26" t="inlineStr">
        <is>
          <t>Functional</t>
        </is>
      </c>
      <c r="G174" s="26" t="inlineStr">
        <is>
          <t>High</t>
        </is>
      </c>
      <c r="H174" s="26" t="inlineStr">
        <is>
          <t>Admin + owner accounts</t>
        </is>
      </c>
      <c r="I174" s="26" t="inlineStr">
        <is>
          <t>1. Owner submits listing. 2. Admin opens bell.</t>
        </is>
      </c>
      <c r="J174" s="26" t="inlineStr">
        <is>
          <t>New listing</t>
        </is>
      </c>
      <c r="K174" s="26" t="inlineStr">
        <is>
          <t>One listing_submitted alert linking to the review item.</t>
        </is>
      </c>
      <c r="L174" s="26" t="inlineStr">
        <is>
          <t>New</t>
        </is>
      </c>
      <c r="M174" s="28" t="inlineStr">
        <is>
          <t>Not Run</t>
        </is>
      </c>
      <c r="N174" s="28" t="n"/>
      <c r="O174" s="28" t="n"/>
      <c r="P174" s="28" t="n"/>
      <c r="Q174" s="26" t="n"/>
    </row>
    <row r="175">
      <c r="A175" s="25" t="inlineStr">
        <is>
          <t>TC-NOTIF-013</t>
        </is>
      </c>
      <c r="B175" s="26" t="inlineStr">
        <is>
          <t>UC-44</t>
        </is>
      </c>
      <c r="C175" s="26" t="inlineStr">
        <is>
          <t>FR-026</t>
        </is>
      </c>
      <c r="D175" s="26" t="inlineStr">
        <is>
          <t>Notifications</t>
        </is>
      </c>
      <c r="E175" s="26" t="inlineStr">
        <is>
          <t>Listing and alert written atomically</t>
        </is>
      </c>
      <c r="F175" s="26" t="inlineStr">
        <is>
          <t>Negative</t>
        </is>
      </c>
      <c r="G175" s="26" t="inlineStr">
        <is>
          <t>Medium</t>
        </is>
      </c>
      <c r="H175" s="26" t="inlineStr">
        <is>
          <t>Emulator</t>
        </is>
      </c>
      <c r="I175" s="26" t="inlineStr">
        <is>
          <t>1. Force notification write to fail (rules). 2. Submit listing.</t>
        </is>
      </c>
      <c r="J175" s="26" t="inlineStr">
        <is>
          <t>-</t>
        </is>
      </c>
      <c r="K175" s="26" t="inlineStr">
        <is>
          <t>Neither listing nor alert is created; owner sees an error.</t>
        </is>
      </c>
      <c r="L175" s="26" t="inlineStr">
        <is>
          <t>New</t>
        </is>
      </c>
      <c r="M175" s="28" t="inlineStr">
        <is>
          <t>Not Run</t>
        </is>
      </c>
      <c r="N175" s="28" t="n"/>
      <c r="O175" s="28" t="n"/>
      <c r="P175" s="28" t="n"/>
      <c r="Q175" s="26" t="n"/>
    </row>
    <row r="176">
      <c r="A176" s="25" t="inlineStr">
        <is>
          <t>TC-NOTIF-014</t>
        </is>
      </c>
      <c r="B176" s="26" t="inlineStr">
        <is>
          <t>UC-28</t>
        </is>
      </c>
      <c r="C176" s="26" t="inlineStr">
        <is>
          <t>FR-029</t>
        </is>
      </c>
      <c r="D176" s="26" t="inlineStr">
        <is>
          <t>Notifications</t>
        </is>
      </c>
      <c r="E176" s="26" t="inlineStr">
        <is>
          <t>Open notification navigates and marks read</t>
        </is>
      </c>
      <c r="F176" s="26" t="inlineStr">
        <is>
          <t>Functional</t>
        </is>
      </c>
      <c r="G176" s="26" t="inlineStr">
        <is>
          <t>Medium</t>
        </is>
      </c>
      <c r="H176" s="26" t="inlineStr">
        <is>
          <t>Unread notification</t>
        </is>
      </c>
      <c r="I176" s="26" t="inlineStr">
        <is>
          <t>1. Click notification row.</t>
        </is>
      </c>
      <c r="J176" s="26" t="inlineStr">
        <is>
          <t>-</t>
        </is>
      </c>
      <c r="K176" s="26" t="inlineStr">
        <is>
          <t>Navigates to stored link; row marked read; badge decrements.</t>
        </is>
      </c>
      <c r="L176" s="26" t="inlineStr">
        <is>
          <t>New</t>
        </is>
      </c>
      <c r="M176" s="28" t="inlineStr">
        <is>
          <t>Not Run</t>
        </is>
      </c>
      <c r="N176" s="28" t="n"/>
      <c r="O176" s="28" t="n"/>
      <c r="P176" s="28" t="n"/>
      <c r="Q176" s="26" t="n"/>
    </row>
    <row r="177">
      <c r="A177" s="25" t="inlineStr">
        <is>
          <t>TC-NOTIF-015</t>
        </is>
      </c>
      <c r="B177" s="26" t="inlineStr">
        <is>
          <t>UC-28</t>
        </is>
      </c>
      <c r="C177" s="26" t="inlineStr">
        <is>
          <t>FR-029</t>
        </is>
      </c>
      <c r="D177" s="26" t="inlineStr">
        <is>
          <t>Notifications</t>
        </is>
      </c>
      <c r="E177" s="26" t="inlineStr">
        <is>
          <t>Clear one and Clear read</t>
        </is>
      </c>
      <c r="F177" s="26" t="inlineStr">
        <is>
          <t>Functional</t>
        </is>
      </c>
      <c r="G177" s="26" t="inlineStr">
        <is>
          <t>Low</t>
        </is>
      </c>
      <c r="H177" s="26" t="inlineStr">
        <is>
          <t>Mixed read/unread</t>
        </is>
      </c>
      <c r="I177" s="26" t="inlineStr">
        <is>
          <t>1. Clear one. 2. Clear read.</t>
        </is>
      </c>
      <c r="J177" s="26" t="inlineStr">
        <is>
          <t>-</t>
        </is>
      </c>
      <c r="K177" s="26" t="inlineStr">
        <is>
          <t>Selected row removed; all read rows removed; unread kept.</t>
        </is>
      </c>
      <c r="L177" s="26" t="inlineStr">
        <is>
          <t>New</t>
        </is>
      </c>
      <c r="M177" s="28" t="inlineStr">
        <is>
          <t>Not Run</t>
        </is>
      </c>
      <c r="N177" s="28" t="n"/>
      <c r="O177" s="28" t="n"/>
      <c r="P177" s="28" t="n"/>
      <c r="Q177" s="26" t="n"/>
    </row>
    <row r="178">
      <c r="A178" s="25" t="inlineStr">
        <is>
          <t>TC-API-001</t>
        </is>
      </c>
      <c r="B178" s="26" t="inlineStr">
        <is>
          <t>UC-15</t>
        </is>
      </c>
      <c r="C178" s="26" t="inlineStr">
        <is>
          <t>FR-027</t>
        </is>
      </c>
      <c r="D178" s="26" t="inlineStr">
        <is>
          <t>Trusted API</t>
        </is>
      </c>
      <c r="E178" s="26" t="inlineStr">
        <is>
          <t>Health endpoint</t>
        </is>
      </c>
      <c r="F178" s="26" t="inlineStr">
        <is>
          <t>Deployment</t>
        </is>
      </c>
      <c r="G178" s="26" t="inlineStr">
        <is>
          <t>High</t>
        </is>
      </c>
      <c r="H178" s="26" t="inlineStr">
        <is>
          <t>API deployed</t>
        </is>
      </c>
      <c r="I178" s="26" t="inlineStr">
        <is>
          <t>1. GET /api/health.</t>
        </is>
      </c>
      <c r="J178" s="26" t="inlineStr">
        <is>
          <t>-</t>
        </is>
      </c>
      <c r="K178" s="26" t="inlineStr">
        <is>
          <t>200 with version and region; no secrets in body.</t>
        </is>
      </c>
      <c r="L178" s="26" t="inlineStr">
        <is>
          <t>New</t>
        </is>
      </c>
      <c r="M178" s="28" t="inlineStr">
        <is>
          <t>Not Run</t>
        </is>
      </c>
      <c r="N178" s="28" t="n"/>
      <c r="O178" s="28" t="n"/>
      <c r="P178" s="28" t="n"/>
      <c r="Q178" s="26" t="inlineStr">
        <is>
          <t>Feature ships in v1.4 (trusted API). Run after the v1.4 deploy; record as Blocked if the API is not live by then.</t>
        </is>
      </c>
    </row>
    <row r="179">
      <c r="A179" s="25" t="inlineStr">
        <is>
          <t>TC-API-002</t>
        </is>
      </c>
      <c r="B179" s="26" t="inlineStr">
        <is>
          <t>UC-15</t>
        </is>
      </c>
      <c r="C179" s="26" t="inlineStr">
        <is>
          <t>FR-027</t>
        </is>
      </c>
      <c r="D179" s="26" t="inlineStr">
        <is>
          <t>Trusted API</t>
        </is>
      </c>
      <c r="E179" s="26" t="inlineStr">
        <is>
          <t>Missing or invalid ID token</t>
        </is>
      </c>
      <c r="F179" s="26" t="inlineStr">
        <is>
          <t>Security</t>
        </is>
      </c>
      <c r="G179" s="26" t="inlineStr">
        <is>
          <t>Critical</t>
        </is>
      </c>
      <c r="H179" s="26" t="inlineStr">
        <is>
          <t>API deployed</t>
        </is>
      </c>
      <c r="I179" s="26" t="inlineStr">
        <is>
          <t>1. Call confirm with no token. 2. With an expired/garbage token.</t>
        </is>
      </c>
      <c r="J179" s="26" t="inlineStr">
        <is>
          <t>-</t>
        </is>
      </c>
      <c r="K179" s="26" t="inlineStr">
        <is>
          <t>401 with JSON error code; booking unchanged.</t>
        </is>
      </c>
      <c r="L179" s="26" t="inlineStr">
        <is>
          <t>New</t>
        </is>
      </c>
      <c r="M179" s="28" t="inlineStr">
        <is>
          <t>Not Run</t>
        </is>
      </c>
      <c r="N179" s="28" t="n"/>
      <c r="O179" s="28" t="n"/>
      <c r="P179" s="28" t="n"/>
      <c r="Q179" s="26" t="inlineStr">
        <is>
          <t>Feature ships in v1.4 (trusted API). Run after the v1.4 deploy; record as Blocked if the API is not live by then.</t>
        </is>
      </c>
    </row>
    <row r="180">
      <c r="A180" s="25" t="inlineStr">
        <is>
          <t>TC-API-003</t>
        </is>
      </c>
      <c r="B180" s="26" t="inlineStr">
        <is>
          <t>UC-15</t>
        </is>
      </c>
      <c r="C180" s="26" t="inlineStr">
        <is>
          <t>FR-027</t>
        </is>
      </c>
      <c r="D180" s="26" t="inlineStr">
        <is>
          <t>Trusted API</t>
        </is>
      </c>
      <c r="E180" s="26" t="inlineStr">
        <is>
          <t>Non-owner cannot confirm</t>
        </is>
      </c>
      <c r="F180" s="26" t="inlineStr">
        <is>
          <t>Security</t>
        </is>
      </c>
      <c r="G180" s="26" t="inlineStr">
        <is>
          <t>Critical</t>
        </is>
      </c>
      <c r="H180" s="26" t="inlineStr">
        <is>
          <t>Pending booking</t>
        </is>
      </c>
      <c r="I180" s="26" t="inlineStr">
        <is>
          <t>1. Renter or third user calls confirm.</t>
        </is>
      </c>
      <c r="J180" s="26" t="inlineStr">
        <is>
          <t>Other account</t>
        </is>
      </c>
      <c r="K180" s="26" t="inlineStr">
        <is>
          <t>403; booking stays Pending.</t>
        </is>
      </c>
      <c r="L180" s="26" t="inlineStr">
        <is>
          <t>New</t>
        </is>
      </c>
      <c r="M180" s="28" t="inlineStr">
        <is>
          <t>Not Run</t>
        </is>
      </c>
      <c r="N180" s="28" t="n"/>
      <c r="O180" s="28" t="n"/>
      <c r="P180" s="28" t="n"/>
      <c r="Q180" s="26" t="inlineStr">
        <is>
          <t>Feature ships in v1.4 (trusted API). Run after the v1.4 deploy; record as Blocked if the API is not live by then.</t>
        </is>
      </c>
    </row>
    <row r="181">
      <c r="A181" s="25" t="inlineStr">
        <is>
          <t>TC-API-004</t>
        </is>
      </c>
      <c r="B181" s="26" t="inlineStr">
        <is>
          <t>UC-15</t>
        </is>
      </c>
      <c r="C181" s="26" t="inlineStr">
        <is>
          <t>FR-027</t>
        </is>
      </c>
      <c r="D181" s="26" t="inlineStr">
        <is>
          <t>Trusted API</t>
        </is>
      </c>
      <c r="E181" s="26" t="inlineStr">
        <is>
          <t>Owner confirms free dates</t>
        </is>
      </c>
      <c r="F181" s="26" t="inlineStr">
        <is>
          <t>Functional</t>
        </is>
      </c>
      <c r="G181" s="26" t="inlineStr">
        <is>
          <t>Critical</t>
        </is>
      </c>
      <c r="H181" s="26" t="inlineStr">
        <is>
          <t>Pending booking, no overlap</t>
        </is>
      </c>
      <c r="I181" s="26" t="inlineStr">
        <is>
          <t>1. Owner clicks Confirm.</t>
        </is>
      </c>
      <c r="J181" s="26" t="inlineStr">
        <is>
          <t>Seed booking</t>
        </is>
      </c>
      <c r="K181" s="26" t="inlineStr">
        <is>
          <t>200; status Confirmed; renter notified; exact-address handoff readable by renter.</t>
        </is>
      </c>
      <c r="L181" s="26" t="inlineStr">
        <is>
          <t>New</t>
        </is>
      </c>
      <c r="M181" s="28" t="inlineStr">
        <is>
          <t>Not Run</t>
        </is>
      </c>
      <c r="N181" s="28" t="n"/>
      <c r="O181" s="28" t="n"/>
      <c r="P181" s="28" t="n"/>
      <c r="Q181" s="26" t="inlineStr">
        <is>
          <t>Feature ships in v1.4 (trusted API). Run after the v1.4 deploy; record as Blocked if the API is not live by then.</t>
        </is>
      </c>
    </row>
    <row r="182">
      <c r="A182" s="25" t="inlineStr">
        <is>
          <t>TC-API-005</t>
        </is>
      </c>
      <c r="B182" s="26" t="inlineStr">
        <is>
          <t>UC-15</t>
        </is>
      </c>
      <c r="C182" s="26" t="inlineStr">
        <is>
          <t>FR-006</t>
        </is>
      </c>
      <c r="D182" s="26" t="inlineStr">
        <is>
          <t>Trusted API</t>
        </is>
      </c>
      <c r="E182" s="26" t="inlineStr">
        <is>
          <t>Overlap rejected at confirm time</t>
        </is>
      </c>
      <c r="F182" s="26" t="inlineStr">
        <is>
          <t>Functional</t>
        </is>
      </c>
      <c r="G182" s="26" t="inlineStr">
        <is>
          <t>Critical</t>
        </is>
      </c>
      <c r="H182" s="26" t="inlineStr">
        <is>
          <t>Confirmed booking exists</t>
        </is>
      </c>
      <c r="I182" s="26" t="inlineStr">
        <is>
          <t>1. Owner confirms overlapping Pending request.</t>
        </is>
      </c>
      <c r="J182" s="26" t="inlineStr">
        <is>
          <t>Overlapping dates</t>
        </is>
      </c>
      <c r="K182" s="26" t="inlineStr">
        <is>
          <t>409 BOOKING_OVERLAP; request stays Pending; clear message in UI.</t>
        </is>
      </c>
      <c r="L182" s="26" t="inlineStr">
        <is>
          <t>New</t>
        </is>
      </c>
      <c r="M182" s="28" t="inlineStr">
        <is>
          <t>Not Run</t>
        </is>
      </c>
      <c r="N182" s="28" t="n"/>
      <c r="O182" s="28" t="n"/>
      <c r="P182" s="28" t="n"/>
      <c r="Q182" s="26" t="inlineStr">
        <is>
          <t>Feature ships in v1.4 (trusted API). Run after the v1.4 deploy; record as Blocked if the API is not live by then.</t>
        </is>
      </c>
    </row>
    <row r="183">
      <c r="A183" s="25" t="inlineStr">
        <is>
          <t>TC-API-006</t>
        </is>
      </c>
      <c r="B183" s="26" t="inlineStr">
        <is>
          <t>UC-15</t>
        </is>
      </c>
      <c r="C183" s="26" t="inlineStr">
        <is>
          <t>FR-006</t>
        </is>
      </c>
      <c r="D183" s="26" t="inlineStr">
        <is>
          <t>Trusted API</t>
        </is>
      </c>
      <c r="E183" s="26" t="inlineStr">
        <is>
          <t>Concurrent confirmations (F-05 close-out)</t>
        </is>
      </c>
      <c r="F183" s="26" t="inlineStr">
        <is>
          <t>Concurrency</t>
        </is>
      </c>
      <c r="G183" s="26" t="inlineStr">
        <is>
          <t>Critical</t>
        </is>
      </c>
      <c r="H183" s="26" t="inlineStr">
        <is>
          <t>Two Pending, same dates</t>
        </is>
      </c>
      <c r="I183" s="26" t="inlineStr">
        <is>
          <t>1. Fire both confirm calls in parallel (script, 10 runs).</t>
        </is>
      </c>
      <c r="J183" s="26" t="inlineStr">
        <is>
          <t>Two renters</t>
        </is>
      </c>
      <c r="K183" s="26" t="inlineStr">
        <is>
          <t>Exactly one Confirmed in every run; other gets 409.</t>
        </is>
      </c>
      <c r="L183" s="26" t="inlineStr">
        <is>
          <t>New</t>
        </is>
      </c>
      <c r="M183" s="28" t="inlineStr">
        <is>
          <t>Not Run</t>
        </is>
      </c>
      <c r="N183" s="28" t="n"/>
      <c r="O183" s="28" t="n"/>
      <c r="P183" s="28" t="n"/>
      <c r="Q183" s="26" t="inlineStr">
        <is>
          <t>Feature ships in v1.4 (trusted API). Run after the v1.4 deploy; record as Blocked if the API is not live by then.</t>
        </is>
      </c>
    </row>
    <row r="184">
      <c r="A184" s="25" t="inlineStr">
        <is>
          <t>TC-API-007</t>
        </is>
      </c>
      <c r="B184" s="26" t="inlineStr">
        <is>
          <t>UC-15</t>
        </is>
      </c>
      <c r="C184" s="26" t="inlineStr">
        <is>
          <t>FR-027</t>
        </is>
      </c>
      <c r="D184" s="26" t="inlineStr">
        <is>
          <t>Trusted API</t>
        </is>
      </c>
      <c r="E184" s="26" t="inlineStr">
        <is>
          <t>CORS blocks unknown origins</t>
        </is>
      </c>
      <c r="F184" s="26" t="inlineStr">
        <is>
          <t>Security</t>
        </is>
      </c>
      <c r="G184" s="26" t="inlineStr">
        <is>
          <t>High</t>
        </is>
      </c>
      <c r="H184" s="26" t="inlineStr">
        <is>
          <t>API deployed</t>
        </is>
      </c>
      <c r="I184" s="26" t="inlineStr">
        <is>
          <t>1. Call from a non-allowlisted origin.</t>
        </is>
      </c>
      <c r="J184" s="26" t="inlineStr">
        <is>
          <t>https://example.com</t>
        </is>
      </c>
      <c r="K184" s="26" t="inlineStr">
        <is>
          <t>Browser blocks; no CORS allow header returned.</t>
        </is>
      </c>
      <c r="L184" s="26" t="inlineStr">
        <is>
          <t>New</t>
        </is>
      </c>
      <c r="M184" s="28" t="inlineStr">
        <is>
          <t>Not Run</t>
        </is>
      </c>
      <c r="N184" s="28" t="n"/>
      <c r="O184" s="28" t="n"/>
      <c r="P184" s="28" t="n"/>
      <c r="Q184" s="26" t="inlineStr">
        <is>
          <t>Feature ships in v1.4 (trusted API). Run after the v1.4 deploy; record as Blocked if the API is not live by then.</t>
        </is>
      </c>
    </row>
    <row r="185">
      <c r="A185" s="25" t="inlineStr">
        <is>
          <t>TC-API-008</t>
        </is>
      </c>
      <c r="B185" s="26" t="inlineStr">
        <is>
          <t>UC-15</t>
        </is>
      </c>
      <c r="C185" s="26" t="inlineStr">
        <is>
          <t>FR-027</t>
        </is>
      </c>
      <c r="D185" s="26" t="inlineStr">
        <is>
          <t>Trusted API</t>
        </is>
      </c>
      <c r="E185" s="26" t="inlineStr">
        <is>
          <t>Suspended owner cannot confirm</t>
        </is>
      </c>
      <c r="F185" s="26" t="inlineStr">
        <is>
          <t>Security</t>
        </is>
      </c>
      <c r="G185" s="26" t="inlineStr">
        <is>
          <t>High</t>
        </is>
      </c>
      <c r="H185" s="26" t="inlineStr">
        <is>
          <t>Suspended owner</t>
        </is>
      </c>
      <c r="I185" s="26" t="inlineStr">
        <is>
          <t>1. Call confirm.</t>
        </is>
      </c>
      <c r="J185" s="26" t="inlineStr">
        <is>
          <t>-</t>
        </is>
      </c>
      <c r="K185" s="26" t="inlineStr">
        <is>
          <t>403 ACCOUNT_SUSPENDED.</t>
        </is>
      </c>
      <c r="L185" s="26" t="inlineStr">
        <is>
          <t>New</t>
        </is>
      </c>
      <c r="M185" s="28" t="inlineStr">
        <is>
          <t>Not Run</t>
        </is>
      </c>
      <c r="N185" s="28" t="n"/>
      <c r="O185" s="28" t="n"/>
      <c r="P185" s="28" t="n"/>
      <c r="Q185" s="26" t="inlineStr">
        <is>
          <t>Feature ships in v1.4 (trusted API). Run after the v1.4 deploy; record as Blocked if the API is not live by then.</t>
        </is>
      </c>
    </row>
    <row r="186">
      <c r="A186" s="25" t="inlineStr">
        <is>
          <t>TC-API-009</t>
        </is>
      </c>
      <c r="B186" s="26" t="inlineStr">
        <is>
          <t>UC-15</t>
        </is>
      </c>
      <c r="C186" s="26" t="inlineStr">
        <is>
          <t>FR-027</t>
        </is>
      </c>
      <c r="D186" s="26" t="inlineStr">
        <is>
          <t>Trusted API</t>
        </is>
      </c>
      <c r="E186" s="26" t="inlineStr">
        <is>
          <t>API down shows service-unavailable</t>
        </is>
      </c>
      <c r="F186" s="26" t="inlineStr">
        <is>
          <t>Negative</t>
        </is>
      </c>
      <c r="G186" s="26" t="inlineStr">
        <is>
          <t>Medium</t>
        </is>
      </c>
      <c r="H186" s="26" t="inlineStr">
        <is>
          <t>Point client at wrong API URL</t>
        </is>
      </c>
      <c r="I186" s="26" t="inlineStr">
        <is>
          <t>1. Click Confirm.</t>
        </is>
      </c>
      <c r="J186" s="26" t="inlineStr">
        <is>
          <t>-</t>
        </is>
      </c>
      <c r="K186" s="26" t="inlineStr">
        <is>
          <t>Clear service-unavailable message; no direct Firestore write attempted.</t>
        </is>
      </c>
      <c r="L186" s="26" t="inlineStr">
        <is>
          <t>New</t>
        </is>
      </c>
      <c r="M186" s="28" t="inlineStr">
        <is>
          <t>Not Run</t>
        </is>
      </c>
      <c r="N186" s="28" t="n"/>
      <c r="O186" s="28" t="n"/>
      <c r="P186" s="28" t="n"/>
      <c r="Q186" s="26" t="inlineStr">
        <is>
          <t>Feature ships in v1.4 (trusted API). Run after the v1.4 deploy; record as Blocked if the API is not live by then.</t>
        </is>
      </c>
    </row>
    <row r="187">
      <c r="A187" s="25" t="inlineStr">
        <is>
          <t>TC-API-010</t>
        </is>
      </c>
      <c r="B187" s="26" t="inlineStr">
        <is>
          <t>UC-15</t>
        </is>
      </c>
      <c r="C187" s="26" t="inlineStr">
        <is>
          <t>FR-027</t>
        </is>
      </c>
      <c r="D187" s="26" t="inlineStr">
        <is>
          <t>Trusted API</t>
        </is>
      </c>
      <c r="E187" s="26" t="inlineStr">
        <is>
          <t>Repeat confirm is idempotent</t>
        </is>
      </c>
      <c r="F187" s="26" t="inlineStr">
        <is>
          <t>Functional</t>
        </is>
      </c>
      <c r="G187" s="26" t="inlineStr">
        <is>
          <t>Medium</t>
        </is>
      </c>
      <c r="H187" s="26" t="inlineStr">
        <is>
          <t>Already Confirmed</t>
        </is>
      </c>
      <c r="I187" s="26" t="inlineStr">
        <is>
          <t>1. Call confirm twice.</t>
        </is>
      </c>
      <c r="J187" s="26" t="inlineStr">
        <is>
          <t>-</t>
        </is>
      </c>
      <c r="K187" s="26" t="inlineStr">
        <is>
          <t>Second call returns 200 already-confirmed (or 409 ALREADY_DECIDED); no duplicate notification.</t>
        </is>
      </c>
      <c r="L187" s="26" t="inlineStr">
        <is>
          <t>New</t>
        </is>
      </c>
      <c r="M187" s="28" t="inlineStr">
        <is>
          <t>Not Run</t>
        </is>
      </c>
      <c r="N187" s="28" t="n"/>
      <c r="O187" s="28" t="n"/>
      <c r="P187" s="28" t="n"/>
      <c r="Q187" s="26" t="inlineStr">
        <is>
          <t>Feature ships in v1.4 (trusted API). Run after the v1.4 deploy; record as Blocked if the API is not live by then.</t>
        </is>
      </c>
    </row>
    <row r="188">
      <c r="A188" s="25" t="inlineStr">
        <is>
          <t>TC-DOC-001</t>
        </is>
      </c>
      <c r="B188" s="26" t="inlineStr">
        <is>
          <t>UC-45</t>
        </is>
      </c>
      <c r="C188" s="26" t="inlineStr">
        <is>
          <t>FR-028</t>
        </is>
      </c>
      <c r="D188" s="26" t="inlineStr">
        <is>
          <t>Private Documents</t>
        </is>
      </c>
      <c r="E188" s="26" t="inlineStr">
        <is>
          <t>New documents uploaded as authenticated assets</t>
        </is>
      </c>
      <c r="F188" s="26" t="inlineStr">
        <is>
          <t>Security</t>
        </is>
      </c>
      <c r="G188" s="26" t="inlineStr">
        <is>
          <t>Critical</t>
        </is>
      </c>
      <c r="H188" s="26" t="inlineStr">
        <is>
          <t>v1.4 deployed</t>
        </is>
      </c>
      <c r="I188" s="26" t="inlineStr">
        <is>
          <t>1. Create listing with documents. 2. Open the bare Cloudinary URL without signature.</t>
        </is>
      </c>
      <c r="J188" s="26" t="inlineStr">
        <is>
          <t>PDF + JPG</t>
        </is>
      </c>
      <c r="K188" s="26" t="inlineStr">
        <is>
          <t>Bare URL returns 401/404; listingPrivate stores publicId, not a URL.</t>
        </is>
      </c>
      <c r="L188" s="26" t="inlineStr">
        <is>
          <t>New</t>
        </is>
      </c>
      <c r="M188" s="28" t="inlineStr">
        <is>
          <t>Not Run</t>
        </is>
      </c>
      <c r="N188" s="28" t="n"/>
      <c r="O188" s="28" t="n"/>
      <c r="P188" s="28" t="n"/>
      <c r="Q188" s="26" t="inlineStr">
        <is>
          <t>Feature ships in v1.4 (trusted API). Run after the v1.4 deploy; record as Blocked if the API is not live by then.</t>
        </is>
      </c>
    </row>
    <row r="189">
      <c r="A189" s="25" t="inlineStr">
        <is>
          <t>TC-DOC-002</t>
        </is>
      </c>
      <c r="B189" s="26" t="inlineStr">
        <is>
          <t>UC-45</t>
        </is>
      </c>
      <c r="C189" s="26" t="inlineStr">
        <is>
          <t>FR-028</t>
        </is>
      </c>
      <c r="D189" s="26" t="inlineStr">
        <is>
          <t>Private Documents</t>
        </is>
      </c>
      <c r="E189" s="26" t="inlineStr">
        <is>
          <t>Admin preview via short-lived URL</t>
        </is>
      </c>
      <c r="F189" s="26" t="inlineStr">
        <is>
          <t>Functional</t>
        </is>
      </c>
      <c r="G189" s="26" t="inlineStr">
        <is>
          <t>Critical</t>
        </is>
      </c>
      <c r="H189" s="26" t="inlineStr">
        <is>
          <t>Admin; listing with documents</t>
        </is>
      </c>
      <c r="I189" s="26" t="inlineStr">
        <is>
          <t>1. Open review item.</t>
        </is>
      </c>
      <c r="J189" s="26" t="inlineStr">
        <is>
          <t>-</t>
        </is>
      </c>
      <c r="K189" s="26" t="inlineStr">
        <is>
          <t>Both documents preview (image + PDF).</t>
        </is>
      </c>
      <c r="L189" s="26" t="inlineStr">
        <is>
          <t>New</t>
        </is>
      </c>
      <c r="M189" s="28" t="inlineStr">
        <is>
          <t>Not Run</t>
        </is>
      </c>
      <c r="N189" s="28" t="n"/>
      <c r="O189" s="28" t="n"/>
      <c r="P189" s="28" t="n"/>
      <c r="Q189" s="26" t="inlineStr">
        <is>
          <t>Feature ships in v1.4 (trusted API). Run after the v1.4 deploy; record as Blocked if the API is not live by then.</t>
        </is>
      </c>
    </row>
    <row r="190">
      <c r="A190" s="25" t="inlineStr">
        <is>
          <t>TC-DOC-003</t>
        </is>
      </c>
      <c r="B190" s="26" t="inlineStr">
        <is>
          <t>UC-45</t>
        </is>
      </c>
      <c r="C190" s="26" t="inlineStr">
        <is>
          <t>FR-028</t>
        </is>
      </c>
      <c r="D190" s="26" t="inlineStr">
        <is>
          <t>Private Documents</t>
        </is>
      </c>
      <c r="E190" s="26" t="inlineStr">
        <is>
          <t>Owner sees own documents</t>
        </is>
      </c>
      <c r="F190" s="26" t="inlineStr">
        <is>
          <t>Functional</t>
        </is>
      </c>
      <c r="G190" s="26" t="inlineStr">
        <is>
          <t>High</t>
        </is>
      </c>
      <c r="H190" s="26" t="inlineStr">
        <is>
          <t>Owner</t>
        </is>
      </c>
      <c r="I190" s="26" t="inlineStr">
        <is>
          <t>1. Open own listing documents.</t>
        </is>
      </c>
      <c r="J190" s="26" t="inlineStr">
        <is>
          <t>-</t>
        </is>
      </c>
      <c r="K190" s="26" t="inlineStr">
        <is>
          <t>Preview loads.</t>
        </is>
      </c>
      <c r="L190" s="26" t="inlineStr">
        <is>
          <t>New</t>
        </is>
      </c>
      <c r="M190" s="28" t="inlineStr">
        <is>
          <t>Not Run</t>
        </is>
      </c>
      <c r="N190" s="28" t="n"/>
      <c r="O190" s="28" t="n"/>
      <c r="P190" s="28" t="n"/>
      <c r="Q190" s="26" t="inlineStr">
        <is>
          <t>Feature ships in v1.4 (trusted API). Run after the v1.4 deploy; record as Blocked if the API is not live by then.</t>
        </is>
      </c>
    </row>
    <row r="191">
      <c r="A191" s="25" t="inlineStr">
        <is>
          <t>TC-DOC-004</t>
        </is>
      </c>
      <c r="B191" s="26" t="inlineStr">
        <is>
          <t>UC-45</t>
        </is>
      </c>
      <c r="C191" s="26" t="inlineStr">
        <is>
          <t>FR-028</t>
        </is>
      </c>
      <c r="D191" s="26" t="inlineStr">
        <is>
          <t>Private Documents</t>
        </is>
      </c>
      <c r="E191" s="26" t="inlineStr">
        <is>
          <t>Other user denied</t>
        </is>
      </c>
      <c r="F191" s="26" t="inlineStr">
        <is>
          <t>Security</t>
        </is>
      </c>
      <c r="G191" s="26" t="inlineStr">
        <is>
          <t>Critical</t>
        </is>
      </c>
      <c r="H191" s="26" t="inlineStr">
        <is>
          <t>Third account</t>
        </is>
      </c>
      <c r="I191" s="26" t="inlineStr">
        <is>
          <t>1. Call document endpoint for someone else's listing.</t>
        </is>
      </c>
      <c r="J191" s="26" t="inlineStr">
        <is>
          <t>-</t>
        </is>
      </c>
      <c r="K191" s="26" t="inlineStr">
        <is>
          <t>403; no URL returned.</t>
        </is>
      </c>
      <c r="L191" s="26" t="inlineStr">
        <is>
          <t>New</t>
        </is>
      </c>
      <c r="M191" s="28" t="inlineStr">
        <is>
          <t>Not Run</t>
        </is>
      </c>
      <c r="N191" s="28" t="n"/>
      <c r="O191" s="28" t="n"/>
      <c r="P191" s="28" t="n"/>
      <c r="Q191" s="26" t="inlineStr">
        <is>
          <t>Feature ships in v1.4 (trusted API). Run after the v1.4 deploy; record as Blocked if the API is not live by then.</t>
        </is>
      </c>
    </row>
    <row r="192">
      <c r="A192" s="25" t="inlineStr">
        <is>
          <t>TC-DOC-005</t>
        </is>
      </c>
      <c r="B192" s="26" t="inlineStr">
        <is>
          <t>UC-45</t>
        </is>
      </c>
      <c r="C192" s="26" t="inlineStr">
        <is>
          <t>FR-028</t>
        </is>
      </c>
      <c r="D192" s="26" t="inlineStr">
        <is>
          <t>Private Documents</t>
        </is>
      </c>
      <c r="E192" s="26" t="inlineStr">
        <is>
          <t>Signed URL expires</t>
        </is>
      </c>
      <c r="F192" s="26" t="inlineStr">
        <is>
          <t>Security</t>
        </is>
      </c>
      <c r="G192" s="26" t="inlineStr">
        <is>
          <t>High</t>
        </is>
      </c>
      <c r="H192" s="26" t="inlineStr">
        <is>
          <t>URL obtained</t>
        </is>
      </c>
      <c r="I192" s="26" t="inlineStr">
        <is>
          <t>1. Wait past TTL. 2. Open URL again.</t>
        </is>
      </c>
      <c r="J192" s="26" t="inlineStr">
        <is>
          <t>TTL 5 min</t>
        </is>
      </c>
      <c r="K192" s="26" t="inlineStr">
        <is>
          <t>Request rejected after expiry.</t>
        </is>
      </c>
      <c r="L192" s="26" t="inlineStr">
        <is>
          <t>New</t>
        </is>
      </c>
      <c r="M192" s="28" t="inlineStr">
        <is>
          <t>Not Run</t>
        </is>
      </c>
      <c r="N192" s="28" t="n"/>
      <c r="O192" s="28" t="n"/>
      <c r="P192" s="28" t="n"/>
      <c r="Q192" s="26" t="inlineStr">
        <is>
          <t>Feature ships in v1.4 (trusted API). Run after the v1.4 deploy; record as Blocked if the API is not live by then.</t>
        </is>
      </c>
    </row>
    <row r="193">
      <c r="A193" s="25" t="inlineStr">
        <is>
          <t>TC-DOC-006</t>
        </is>
      </c>
      <c r="B193" s="26" t="inlineStr">
        <is>
          <t>UC-06</t>
        </is>
      </c>
      <c r="C193" s="26" t="inlineStr">
        <is>
          <t>FR-028</t>
        </is>
      </c>
      <c r="D193" s="26" t="inlineStr">
        <is>
          <t>Private Documents</t>
        </is>
      </c>
      <c r="E193" s="26" t="inlineStr">
        <is>
          <t>Photo preset rejects documents and oversize files</t>
        </is>
      </c>
      <c r="F193" s="26" t="inlineStr">
        <is>
          <t>Negative</t>
        </is>
      </c>
      <c r="G193" s="26" t="inlineStr">
        <is>
          <t>Medium</t>
        </is>
      </c>
      <c r="H193" s="26" t="inlineStr">
        <is>
          <t>Unsigned photo preset</t>
        </is>
      </c>
      <c r="I193" s="26" t="inlineStr">
        <is>
          <t>1. Upload a PDF and a 15 MB image through the photo preset.</t>
        </is>
      </c>
      <c r="J193" s="26" t="inlineStr">
        <is>
          <t>-</t>
        </is>
      </c>
      <c r="K193" s="26" t="inlineStr">
        <is>
          <t>Cloudinary rejects; UI shows the reason.</t>
        </is>
      </c>
      <c r="L193" s="26" t="inlineStr">
        <is>
          <t>New</t>
        </is>
      </c>
      <c r="M193" s="28" t="inlineStr">
        <is>
          <t>Not Run</t>
        </is>
      </c>
      <c r="N193" s="28" t="n"/>
      <c r="O193" s="28" t="n"/>
      <c r="P193" s="28" t="n"/>
      <c r="Q193" s="26" t="inlineStr">
        <is>
          <t>Feature ships in v1.4 (trusted API). Run after the v1.4 deploy; record as Blocked if the API is not live by then.</t>
        </is>
      </c>
    </row>
    <row r="194">
      <c r="A194" s="25" t="inlineStr">
        <is>
          <t>TC-DOC-007</t>
        </is>
      </c>
      <c r="B194" s="26" t="inlineStr">
        <is>
          <t>UC-48</t>
        </is>
      </c>
      <c r="C194" s="26" t="inlineStr">
        <is>
          <t>FR-028</t>
        </is>
      </c>
      <c r="D194" s="26" t="inlineStr">
        <is>
          <t>Private Documents</t>
        </is>
      </c>
      <c r="E194" s="26" t="inlineStr">
        <is>
          <t>Migration dry run</t>
        </is>
      </c>
      <c r="F194" s="26" t="inlineStr">
        <is>
          <t>Operations</t>
        </is>
      </c>
      <c r="G194" s="26" t="inlineStr">
        <is>
          <t>High</t>
        </is>
      </c>
      <c r="H194" s="26" t="inlineStr">
        <is>
          <t>Backup taken</t>
        </is>
      </c>
      <c r="I194" s="26" t="inlineStr">
        <is>
          <t>1. Run migrate_verification_documents.py (dry run).</t>
        </is>
      </c>
      <c r="J194" s="26" t="inlineStr">
        <is>
          <t>Live project</t>
        </is>
      </c>
      <c r="K194" s="26" t="inlineStr">
        <is>
          <t>Counts listed; no writes.</t>
        </is>
      </c>
      <c r="L194" s="26" t="inlineStr">
        <is>
          <t>New</t>
        </is>
      </c>
      <c r="M194" s="28" t="inlineStr">
        <is>
          <t>Not Run</t>
        </is>
      </c>
      <c r="N194" s="28" t="n"/>
      <c r="O194" s="28" t="n"/>
      <c r="P194" s="28" t="n"/>
      <c r="Q194" s="26" t="inlineStr">
        <is>
          <t>Feature ships in v1.4 (trusted API). Run after the v1.4 deploy; record as Blocked if the API is not live by then.</t>
        </is>
      </c>
    </row>
    <row r="195">
      <c r="A195" s="25" t="inlineStr">
        <is>
          <t>TC-DOC-008</t>
        </is>
      </c>
      <c r="B195" s="26" t="inlineStr">
        <is>
          <t>UC-48</t>
        </is>
      </c>
      <c r="C195" s="26" t="inlineStr">
        <is>
          <t>FR-028</t>
        </is>
      </c>
      <c r="D195" s="26" t="inlineStr">
        <is>
          <t>Private Documents</t>
        </is>
      </c>
      <c r="E195" s="26" t="inlineStr">
        <is>
          <t>Migration apply</t>
        </is>
      </c>
      <c r="F195" s="26" t="inlineStr">
        <is>
          <t>Operations</t>
        </is>
      </c>
      <c r="G195" s="26" t="inlineStr">
        <is>
          <t>Critical</t>
        </is>
      </c>
      <c r="H195" s="26" t="inlineStr">
        <is>
          <t>Dry run reviewed</t>
        </is>
      </c>
      <c r="I195" s="26" t="inlineStr">
        <is>
          <t>1. Run with --apply. 2. Re-open 3 legacy URLs.</t>
        </is>
      </c>
      <c r="J195" s="26" t="inlineStr">
        <is>
          <t>Live project</t>
        </is>
      </c>
      <c r="K195" s="26" t="inlineStr">
        <is>
          <t>Legacy URLs stop loading; publicIds in listingPrivate; URL fields removed from listings.</t>
        </is>
      </c>
      <c r="L195" s="26" t="inlineStr">
        <is>
          <t>New</t>
        </is>
      </c>
      <c r="M195" s="28" t="inlineStr">
        <is>
          <t>Not Run</t>
        </is>
      </c>
      <c r="N195" s="28" t="n"/>
      <c r="O195" s="28" t="n"/>
      <c r="P195" s="28" t="n"/>
      <c r="Q195" s="26" t="inlineStr">
        <is>
          <t>Feature ships in v1.4 (trusted API). Run after the v1.4 deploy; record as Blocked if the API is not live by then.</t>
        </is>
      </c>
    </row>
    <row r="196">
      <c r="A196" s="25" t="inlineStr">
        <is>
          <t>TC-DOC-009</t>
        </is>
      </c>
      <c r="B196" s="26" t="inlineStr">
        <is>
          <t>UC-12</t>
        </is>
      </c>
      <c r="C196" s="26" t="inlineStr">
        <is>
          <t>FR-028</t>
        </is>
      </c>
      <c r="D196" s="26" t="inlineStr">
        <is>
          <t>Private Documents</t>
        </is>
      </c>
      <c r="E196" s="26" t="inlineStr">
        <is>
          <t>Public listing data has no document references</t>
        </is>
      </c>
      <c r="F196" s="26" t="inlineStr">
        <is>
          <t>Security</t>
        </is>
      </c>
      <c r="G196" s="26" t="inlineStr">
        <is>
          <t>Critical</t>
        </is>
      </c>
      <c r="H196" s="26" t="inlineStr">
        <is>
          <t>Migration applied</t>
        </is>
      </c>
      <c r="I196" s="26" t="inlineStr">
        <is>
          <t>1. As guest, inspect listing documents in network tab.</t>
        </is>
      </c>
      <c r="J196" s="26" t="inlineStr">
        <is>
          <t>Any verified listing</t>
        </is>
      </c>
      <c r="K196" s="26" t="inlineStr">
        <is>
          <t>No document URL or publicId in public data.</t>
        </is>
      </c>
      <c r="L196" s="26" t="inlineStr">
        <is>
          <t>New</t>
        </is>
      </c>
      <c r="M196" s="28" t="inlineStr">
        <is>
          <t>Not Run</t>
        </is>
      </c>
      <c r="N196" s="28" t="n"/>
      <c r="O196" s="28" t="n"/>
      <c r="P196" s="28" t="n"/>
      <c r="Q196" s="26" t="inlineStr">
        <is>
          <t>Feature ships in v1.4 (trusted API). Run after the v1.4 deploy; record as Blocked if the API is not live by then.</t>
        </is>
      </c>
    </row>
    <row r="197">
      <c r="A197" s="25" t="inlineStr">
        <is>
          <t>TC-OPS-001</t>
        </is>
      </c>
      <c r="B197" s="26" t="inlineStr">
        <is>
          <t>UC-46</t>
        </is>
      </c>
      <c r="C197" s="26" t="inlineStr">
        <is>
          <t>NFR-SEC-02</t>
        </is>
      </c>
      <c r="D197" s="26" t="inlineStr">
        <is>
          <t>Operations</t>
        </is>
      </c>
      <c r="E197" s="26" t="inlineStr">
        <is>
          <t>Old service-account key revoked</t>
        </is>
      </c>
      <c r="F197" s="26" t="inlineStr">
        <is>
          <t>Security</t>
        </is>
      </c>
      <c r="G197" s="26" t="inlineStr">
        <is>
          <t>Critical</t>
        </is>
      </c>
      <c r="H197" s="26" t="inlineStr">
        <is>
          <t>Rotation done</t>
        </is>
      </c>
      <c r="I197" s="26" t="inlineStr">
        <is>
          <t>1. Try the old key with a small firebase-admin script.</t>
        </is>
      </c>
      <c r="J197" s="26" t="inlineStr">
        <is>
          <t>Old key file</t>
        </is>
      </c>
      <c r="K197" s="26" t="inlineStr">
        <is>
          <t>Authentication fails (invalid_grant).</t>
        </is>
      </c>
      <c r="L197" s="26" t="inlineStr">
        <is>
          <t>New</t>
        </is>
      </c>
      <c r="M197" s="28" t="inlineStr">
        <is>
          <t>Not Run</t>
        </is>
      </c>
      <c r="N197" s="28" t="n"/>
      <c r="O197" s="28" t="n"/>
      <c r="P197" s="28" t="n"/>
      <c r="Q197" s="26" t="n"/>
    </row>
    <row r="198">
      <c r="A198" s="25" t="inlineStr">
        <is>
          <t>TC-OPS-002</t>
        </is>
      </c>
      <c r="B198" s="26" t="inlineStr">
        <is>
          <t>UC-46</t>
        </is>
      </c>
      <c r="C198" s="26" t="inlineStr">
        <is>
          <t>NFR-SEC-02</t>
        </is>
      </c>
      <c r="D198" s="26" t="inlineStr">
        <is>
          <t>Operations</t>
        </is>
      </c>
      <c r="E198" s="26" t="inlineStr">
        <is>
          <t>Git history scan for secrets</t>
        </is>
      </c>
      <c r="F198" s="26" t="inlineStr">
        <is>
          <t>Security</t>
        </is>
      </c>
      <c r="G198" s="26" t="inlineStr">
        <is>
          <t>High</t>
        </is>
      </c>
      <c r="H198" s="26" t="inlineStr">
        <is>
          <t>Repo cloned</t>
        </is>
      </c>
      <c r="I198" s="26" t="inlineStr">
        <is>
          <t>1. Run gitleaks (or git log search) on all branches.</t>
        </is>
      </c>
      <c r="J198" s="26" t="inlineStr">
        <is>
          <t>-</t>
        </is>
      </c>
      <c r="K198" s="26" t="inlineStr">
        <is>
          <t>No live credentials found; result recorded.</t>
        </is>
      </c>
      <c r="L198" s="26" t="inlineStr">
        <is>
          <t>New</t>
        </is>
      </c>
      <c r="M198" s="28" t="inlineStr">
        <is>
          <t>Not Run</t>
        </is>
      </c>
      <c r="N198" s="28" t="n"/>
      <c r="O198" s="28" t="n"/>
      <c r="P198" s="28" t="n"/>
      <c r="Q198" s="26" t="n"/>
    </row>
    <row r="199">
      <c r="A199" s="25" t="inlineStr">
        <is>
          <t>TC-OPS-003</t>
        </is>
      </c>
      <c r="B199" s="26" t="inlineStr">
        <is>
          <t>UC-47</t>
        </is>
      </c>
      <c r="C199" s="26" t="inlineStr">
        <is>
          <t>NFR-REL-02</t>
        </is>
      </c>
      <c r="D199" s="26" t="inlineStr">
        <is>
          <t>Operations</t>
        </is>
      </c>
      <c r="E199" s="26" t="inlineStr">
        <is>
          <t>Firestore JSON backup</t>
        </is>
      </c>
      <c r="F199" s="26" t="inlineStr">
        <is>
          <t>Operations</t>
        </is>
      </c>
      <c r="G199" s="26" t="inlineStr">
        <is>
          <t>High</t>
        </is>
      </c>
      <c r="H199" s="26" t="inlineStr">
        <is>
          <t>Admin credentials</t>
        </is>
      </c>
      <c r="I199" s="26" t="inlineStr">
        <is>
          <t>1. Run backup script. 2. Compare counts.</t>
        </is>
      </c>
      <c r="J199" s="26" t="inlineStr">
        <is>
          <t>-</t>
        </is>
      </c>
      <c r="K199" s="26" t="inlineStr">
        <is>
          <t>Archive created; counts match console.</t>
        </is>
      </c>
      <c r="L199" s="26" t="inlineStr">
        <is>
          <t>New</t>
        </is>
      </c>
      <c r="M199" s="28" t="inlineStr">
        <is>
          <t>Not Run</t>
        </is>
      </c>
      <c r="N199" s="28" t="n"/>
      <c r="O199" s="28" t="n"/>
      <c r="P199" s="28" t="n"/>
      <c r="Q199" s="26" t="n"/>
    </row>
    <row r="200">
      <c r="A200" s="25" t="inlineStr">
        <is>
          <t>TC-OPS-004</t>
        </is>
      </c>
      <c r="B200" s="26" t="inlineStr">
        <is>
          <t>UC-19</t>
        </is>
      </c>
      <c r="C200" s="26" t="inlineStr">
        <is>
          <t>NFR-REL</t>
        </is>
      </c>
      <c r="D200" s="26" t="inlineStr">
        <is>
          <t>Operations</t>
        </is>
      </c>
      <c r="E200" s="26" t="inlineStr">
        <is>
          <t>Scheduled workflow runs daily</t>
        </is>
      </c>
      <c r="F200" s="26" t="inlineStr">
        <is>
          <t>Operations</t>
        </is>
      </c>
      <c r="G200" s="26" t="inlineStr">
        <is>
          <t>Medium</t>
        </is>
      </c>
      <c r="H200" s="26" t="inlineStr">
        <is>
          <t>Workflow updated</t>
        </is>
      </c>
      <c r="I200" s="26" t="inlineStr">
        <is>
          <t>1. Check Actions history for 2 consecutive days.</t>
        </is>
      </c>
      <c r="J200" s="26" t="inlineStr">
        <is>
          <t>-</t>
        </is>
      </c>
      <c r="K200" s="26" t="inlineStr">
        <is>
          <t>Scraper, completion job and trust recompute succeed; secret not printed.</t>
        </is>
      </c>
      <c r="L200" s="26" t="inlineStr">
        <is>
          <t>New</t>
        </is>
      </c>
      <c r="M200" s="28" t="inlineStr">
        <is>
          <t>Not Run</t>
        </is>
      </c>
      <c r="N200" s="28" t="n"/>
      <c r="O200" s="28" t="n"/>
      <c r="P200" s="28" t="n"/>
      <c r="Q200" s="26" t="n"/>
    </row>
    <row r="201">
      <c r="A201" s="25" t="inlineStr">
        <is>
          <t>TC-OPS-005</t>
        </is>
      </c>
      <c r="B201" s="26" t="inlineStr">
        <is>
          <t>-</t>
        </is>
      </c>
      <c r="C201" s="26" t="inlineStr">
        <is>
          <t>NFR-COST-01</t>
        </is>
      </c>
      <c r="D201" s="26" t="inlineStr">
        <is>
          <t>Operations</t>
        </is>
      </c>
      <c r="E201" s="26" t="inlineStr">
        <is>
          <t>No paid service required</t>
        </is>
      </c>
      <c r="F201" s="26" t="inlineStr">
        <is>
          <t>Operations</t>
        </is>
      </c>
      <c r="G201" s="26" t="inlineStr">
        <is>
          <t>High</t>
        </is>
      </c>
      <c r="H201" s="26" t="inlineStr">
        <is>
          <t>Release candidate</t>
        </is>
      </c>
      <c r="I201" s="26" t="inlineStr">
        <is>
          <t>1. Check Firebase plan, Cloudinary plan, Vercel plan.</t>
        </is>
      </c>
      <c r="J201" s="26" t="inlineStr">
        <is>
          <t>-</t>
        </is>
      </c>
      <c r="K201" s="26" t="inlineStr">
        <is>
          <t>Spark, Free, Hobby; no card on file anywhere.</t>
        </is>
      </c>
      <c r="L201" s="26" t="inlineStr">
        <is>
          <t>New</t>
        </is>
      </c>
      <c r="M201" s="28" t="inlineStr">
        <is>
          <t>Not Run</t>
        </is>
      </c>
      <c r="N201" s="28" t="n"/>
      <c r="O201" s="28" t="n"/>
      <c r="P201" s="28" t="n"/>
      <c r="Q201" s="26" t="n"/>
    </row>
    <row r="202">
      <c r="A202" s="25" t="inlineStr">
        <is>
          <t>TC-OPS-006</t>
        </is>
      </c>
      <c r="B202" s="26" t="inlineStr">
        <is>
          <t>UC-39</t>
        </is>
      </c>
      <c r="C202" s="26" t="inlineStr">
        <is>
          <t>NFR</t>
        </is>
      </c>
      <c r="D202" s="26" t="inlineStr">
        <is>
          <t>Operations</t>
        </is>
      </c>
      <c r="E202" s="26" t="inlineStr">
        <is>
          <t>Demo data labelled correctly</t>
        </is>
      </c>
      <c r="F202" s="26" t="inlineStr">
        <is>
          <t>Data</t>
        </is>
      </c>
      <c r="G202" s="26" t="inlineStr">
        <is>
          <t>Medium</t>
        </is>
      </c>
      <c r="H202" s="26" t="inlineStr">
        <is>
          <t>Live project</t>
        </is>
      </c>
      <c r="I202" s="26" t="inlineStr">
        <is>
          <t>1. Check the "Makati listing awaiting review" record shown as Verified.</t>
        </is>
      </c>
      <c r="J202" s="26" t="inlineStr">
        <is>
          <t>-</t>
        </is>
      </c>
      <c r="K202" s="26" t="inlineStr">
        <is>
          <t>Confirmed synthetic fixture and relabelled, or removed after confirmation.</t>
        </is>
      </c>
      <c r="L202" s="26" t="inlineStr">
        <is>
          <t>New</t>
        </is>
      </c>
      <c r="M202" s="28" t="inlineStr">
        <is>
          <t>Not Run</t>
        </is>
      </c>
      <c r="N202" s="28" t="n"/>
      <c r="O202" s="28" t="n"/>
      <c r="P202" s="28" t="n"/>
      <c r="Q202" s="26" t="n"/>
    </row>
    <row r="203">
      <c r="A203" s="25" t="inlineStr">
        <is>
          <t>TC-AUTO-006</t>
        </is>
      </c>
      <c r="B203" s="26" t="inlineStr">
        <is>
          <t>-</t>
        </is>
      </c>
      <c r="C203" s="26" t="inlineStr">
        <is>
          <t>NFR-SEC</t>
        </is>
      </c>
      <c r="D203" s="26" t="inlineStr">
        <is>
          <t>Release &amp; Non-functional</t>
        </is>
      </c>
      <c r="E203" s="26" t="inlineStr">
        <is>
          <t>npm audit</t>
        </is>
      </c>
      <c r="F203" s="26" t="inlineStr">
        <is>
          <t>Unit</t>
        </is>
      </c>
      <c r="G203" s="26" t="inlineStr">
        <is>
          <t>Medium</t>
        </is>
      </c>
      <c r="H203" s="26" t="inlineStr">
        <is>
          <t>dev</t>
        </is>
      </c>
      <c r="I203" s="26" t="inlineStr">
        <is>
          <t>Run npm audit.</t>
        </is>
      </c>
      <c r="J203" s="26" t="inlineStr">
        <is>
          <t>-</t>
        </is>
      </c>
      <c r="K203" s="26" t="inlineStr">
        <is>
          <t>0 high/critical vulnerabilities.</t>
        </is>
      </c>
      <c r="L203" s="26" t="inlineStr">
        <is>
          <t>New</t>
        </is>
      </c>
      <c r="M203" s="28" t="inlineStr">
        <is>
          <t>Passed</t>
        </is>
      </c>
      <c r="N203" s="28" t="inlineStr">
        <is>
          <t>0 vulnerabilities after pinning @grpc/grpc-js 1.13.6</t>
        </is>
      </c>
      <c r="O203" s="28" t="n"/>
      <c r="P203" s="28" t="inlineStr">
        <is>
          <t>2026-10-01</t>
        </is>
      </c>
      <c r="Q203" s="26" t="n"/>
    </row>
  </sheetData>
  <autoFilter ref="A1:Q203"/>
  <conditionalFormatting sqref="M2:M203">
    <cfRule type="cellIs" rank="0" priority="2" equalAverage="0" operator="equal" aboveAverage="0" dxfId="9" text="" percent="0" bottom="0">
      <formula>"Failed"</formula>
    </cfRule>
    <cfRule type="cellIs" rank="0" priority="3" equalAverage="0" operator="equal" aboveAverage="0" dxfId="10" text="" percent="0" bottom="0">
      <formula>"Blocked"</formula>
    </cfRule>
    <cfRule type="cellIs" rank="0" priority="4" equalAverage="0" operator="equal" aboveAverage="0" dxfId="11" text="" percent="0" bottom="0">
      <formula>"Retired"</formula>
    </cfRule>
    <cfRule type="cellIs" rank="0" priority="5" equalAverage="0" operator="equal" aboveAverage="0" dxfId="12" text="" percent="0" bottom="0">
      <formula>"Passed"</formula>
    </cfRule>
    <cfRule type="cellIs" rank="0" priority="6" equalAverage="0" operator="equal" aboveAverage="0" dxfId="13" text="" percent="0" bottom="0">
      <formula>"Passed (Dev)"</formula>
    </cfRule>
  </conditionalFormatting>
  <dataValidations count="1">
    <dataValidation sqref="M2:M203" showDropDown="0" showInputMessage="0" showErrorMessage="0" allowBlank="1" type="list">
      <formula1>"Passed,Passed (Dev),Failed,Blocked,Not Run,Retired"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7" min="1" max="1"/>
    <col width="12" customWidth="1" style="17" min="2" max="10"/>
  </cols>
  <sheetData>
    <row r="1" ht="15" customHeight="1" s="18">
      <c r="A1" s="29" t="inlineStr">
        <is>
          <t>Test Cases by Module and Status</t>
        </is>
      </c>
    </row>
    <row r="2" ht="15" customHeight="1" s="18">
      <c r="A2" s="30" t="inlineStr">
        <is>
          <t>Module</t>
        </is>
      </c>
      <c r="B2" s="30" t="inlineStr">
        <is>
          <t>Total</t>
        </is>
      </c>
      <c r="C2" s="30" t="inlineStr">
        <is>
          <t>Passed</t>
        </is>
      </c>
      <c r="D2" s="30" t="inlineStr">
        <is>
          <t>Passed (Dev)</t>
        </is>
      </c>
      <c r="E2" s="30" t="inlineStr">
        <is>
          <t>Failed</t>
        </is>
      </c>
      <c r="F2" s="30" t="inlineStr">
        <is>
          <t>Blocked</t>
        </is>
      </c>
      <c r="G2" s="30" t="inlineStr">
        <is>
          <t>Not Run</t>
        </is>
      </c>
      <c r="H2" s="30" t="inlineStr">
        <is>
          <t>Retired</t>
        </is>
      </c>
      <c r="I2" s="30" t="inlineStr">
        <is>
          <t>Executed</t>
        </is>
      </c>
      <c r="J2" s="30" t="inlineStr">
        <is>
          <t>Pass Rate</t>
        </is>
      </c>
    </row>
    <row r="3" ht="15" customHeight="1" s="18">
      <c r="A3" s="31" t="inlineStr">
        <is>
          <t>Authentication</t>
        </is>
      </c>
      <c r="B3" s="31">
        <f>COUNTIF('Test Cases'!$D$2:$D$203,A3)</f>
        <v/>
      </c>
      <c r="C3" s="31">
        <f>COUNTIFS('Test Cases'!$D$2:$D$203,$A3,'Test Cases'!$M$2:$M$203,"Passed")</f>
        <v/>
      </c>
      <c r="D3" s="31">
        <f>COUNTIFS('Test Cases'!$D$2:$D$203,$A3,'Test Cases'!$M$2:$M$203,"Passed (Dev)")</f>
        <v/>
      </c>
      <c r="E3" s="31">
        <f>COUNTIFS('Test Cases'!$D$2:$D$203,$A3,'Test Cases'!$M$2:$M$203,"Failed")</f>
        <v/>
      </c>
      <c r="F3" s="31">
        <f>COUNTIFS('Test Cases'!$D$2:$D$203,$A3,'Test Cases'!$M$2:$M$203,"Blocked")</f>
        <v/>
      </c>
      <c r="G3" s="31">
        <f>COUNTIFS('Test Cases'!$D$2:$D$203,$A3,'Test Cases'!$M$2:$M$203,"Not Run")</f>
        <v/>
      </c>
      <c r="H3" s="31">
        <f>COUNTIFS('Test Cases'!$D$2:$D$203,$A3,'Test Cases'!$M$2:$M$203,"Retired")</f>
        <v/>
      </c>
      <c r="I3" s="31">
        <f>C3+D3+E3</f>
        <v/>
      </c>
      <c r="J3" s="32">
        <f>IF(I3=0,"-",(C3+D3)/I3)</f>
        <v/>
      </c>
    </row>
    <row r="4" ht="15" customHeight="1" s="18">
      <c r="A4" s="31" t="inlineStr">
        <is>
          <t>Listing Intake</t>
        </is>
      </c>
      <c r="B4" s="31">
        <f>COUNTIF('Test Cases'!$D$2:$D$203,A4)</f>
        <v/>
      </c>
      <c r="C4" s="31">
        <f>COUNTIFS('Test Cases'!$D$2:$D$203,$A4,'Test Cases'!$M$2:$M$203,"Passed")</f>
        <v/>
      </c>
      <c r="D4" s="31">
        <f>COUNTIFS('Test Cases'!$D$2:$D$203,$A4,'Test Cases'!$M$2:$M$203,"Passed (Dev)")</f>
        <v/>
      </c>
      <c r="E4" s="31">
        <f>COUNTIFS('Test Cases'!$D$2:$D$203,$A4,'Test Cases'!$M$2:$M$203,"Failed")</f>
        <v/>
      </c>
      <c r="F4" s="31">
        <f>COUNTIFS('Test Cases'!$D$2:$D$203,$A4,'Test Cases'!$M$2:$M$203,"Blocked")</f>
        <v/>
      </c>
      <c r="G4" s="31">
        <f>COUNTIFS('Test Cases'!$D$2:$D$203,$A4,'Test Cases'!$M$2:$M$203,"Not Run")</f>
        <v/>
      </c>
      <c r="H4" s="31">
        <f>COUNTIFS('Test Cases'!$D$2:$D$203,$A4,'Test Cases'!$M$2:$M$203,"Retired")</f>
        <v/>
      </c>
      <c r="I4" s="31">
        <f>C4+D4+E4</f>
        <v/>
      </c>
      <c r="J4" s="32">
        <f>IF(I4=0,"-",(C4+D4)/I4)</f>
        <v/>
      </c>
    </row>
    <row r="5" ht="15" customHeight="1" s="18">
      <c r="A5" s="31" t="inlineStr">
        <is>
          <t>Listing Purpose</t>
        </is>
      </c>
      <c r="B5" s="31">
        <f>COUNTIF('Test Cases'!$D$2:$D$203,A5)</f>
        <v/>
      </c>
      <c r="C5" s="31">
        <f>COUNTIFS('Test Cases'!$D$2:$D$203,$A5,'Test Cases'!$M$2:$M$203,"Passed")</f>
        <v/>
      </c>
      <c r="D5" s="31">
        <f>COUNTIFS('Test Cases'!$D$2:$D$203,$A5,'Test Cases'!$M$2:$M$203,"Passed (Dev)")</f>
        <v/>
      </c>
      <c r="E5" s="31">
        <f>COUNTIFS('Test Cases'!$D$2:$D$203,$A5,'Test Cases'!$M$2:$M$203,"Failed")</f>
        <v/>
      </c>
      <c r="F5" s="31">
        <f>COUNTIFS('Test Cases'!$D$2:$D$203,$A5,'Test Cases'!$M$2:$M$203,"Blocked")</f>
        <v/>
      </c>
      <c r="G5" s="31">
        <f>COUNTIFS('Test Cases'!$D$2:$D$203,$A5,'Test Cases'!$M$2:$M$203,"Not Run")</f>
        <v/>
      </c>
      <c r="H5" s="31">
        <f>COUNTIFS('Test Cases'!$D$2:$D$203,$A5,'Test Cases'!$M$2:$M$203,"Retired")</f>
        <v/>
      </c>
      <c r="I5" s="31">
        <f>C5+D5+E5</f>
        <v/>
      </c>
      <c r="J5" s="32">
        <f>IF(I5=0,"-",(C5+D5)/I5)</f>
        <v/>
      </c>
    </row>
    <row r="6" ht="15" customHeight="1" s="18">
      <c r="A6" s="31" t="inlineStr">
        <is>
          <t>Admin Listing Review</t>
        </is>
      </c>
      <c r="B6" s="31">
        <f>COUNTIF('Test Cases'!$D$2:$D$203,A6)</f>
        <v/>
      </c>
      <c r="C6" s="31">
        <f>COUNTIFS('Test Cases'!$D$2:$D$203,$A6,'Test Cases'!$M$2:$M$203,"Passed")</f>
        <v/>
      </c>
      <c r="D6" s="31">
        <f>COUNTIFS('Test Cases'!$D$2:$D$203,$A6,'Test Cases'!$M$2:$M$203,"Passed (Dev)")</f>
        <v/>
      </c>
      <c r="E6" s="31">
        <f>COUNTIFS('Test Cases'!$D$2:$D$203,$A6,'Test Cases'!$M$2:$M$203,"Failed")</f>
        <v/>
      </c>
      <c r="F6" s="31">
        <f>COUNTIFS('Test Cases'!$D$2:$D$203,$A6,'Test Cases'!$M$2:$M$203,"Blocked")</f>
        <v/>
      </c>
      <c r="G6" s="31">
        <f>COUNTIFS('Test Cases'!$D$2:$D$203,$A6,'Test Cases'!$M$2:$M$203,"Not Run")</f>
        <v/>
      </c>
      <c r="H6" s="31">
        <f>COUNTIFS('Test Cases'!$D$2:$D$203,$A6,'Test Cases'!$M$2:$M$203,"Retired")</f>
        <v/>
      </c>
      <c r="I6" s="31">
        <f>C6+D6+E6</f>
        <v/>
      </c>
      <c r="J6" s="32">
        <f>IF(I6=0,"-",(C6+D6)/I6)</f>
        <v/>
      </c>
    </row>
    <row r="7" ht="15" customHeight="1" s="18">
      <c r="A7" s="31" t="inlineStr">
        <is>
          <t>Private Documents</t>
        </is>
      </c>
      <c r="B7" s="31">
        <f>COUNTIF('Test Cases'!$D$2:$D$203,A7)</f>
        <v/>
      </c>
      <c r="C7" s="31">
        <f>COUNTIFS('Test Cases'!$D$2:$D$203,$A7,'Test Cases'!$M$2:$M$203,"Passed")</f>
        <v/>
      </c>
      <c r="D7" s="31">
        <f>COUNTIFS('Test Cases'!$D$2:$D$203,$A7,'Test Cases'!$M$2:$M$203,"Passed (Dev)")</f>
        <v/>
      </c>
      <c r="E7" s="31">
        <f>COUNTIFS('Test Cases'!$D$2:$D$203,$A7,'Test Cases'!$M$2:$M$203,"Failed")</f>
        <v/>
      </c>
      <c r="F7" s="31">
        <f>COUNTIFS('Test Cases'!$D$2:$D$203,$A7,'Test Cases'!$M$2:$M$203,"Blocked")</f>
        <v/>
      </c>
      <c r="G7" s="31">
        <f>COUNTIFS('Test Cases'!$D$2:$D$203,$A7,'Test Cases'!$M$2:$M$203,"Not Run")</f>
        <v/>
      </c>
      <c r="H7" s="31">
        <f>COUNTIFS('Test Cases'!$D$2:$D$203,$A7,'Test Cases'!$M$2:$M$203,"Retired")</f>
        <v/>
      </c>
      <c r="I7" s="31">
        <f>C7+D7+E7</f>
        <v/>
      </c>
      <c r="J7" s="32">
        <f>IF(I7=0,"-",(C7+D7)/I7)</f>
        <v/>
      </c>
    </row>
    <row r="8" ht="15" customHeight="1" s="18">
      <c r="A8" s="31" t="inlineStr">
        <is>
          <t>Search &amp; Browse</t>
        </is>
      </c>
      <c r="B8" s="31">
        <f>COUNTIF('Test Cases'!$D$2:$D$203,A8)</f>
        <v/>
      </c>
      <c r="C8" s="31">
        <f>COUNTIFS('Test Cases'!$D$2:$D$203,$A8,'Test Cases'!$M$2:$M$203,"Passed")</f>
        <v/>
      </c>
      <c r="D8" s="31">
        <f>COUNTIFS('Test Cases'!$D$2:$D$203,$A8,'Test Cases'!$M$2:$M$203,"Passed (Dev)")</f>
        <v/>
      </c>
      <c r="E8" s="31">
        <f>COUNTIFS('Test Cases'!$D$2:$D$203,$A8,'Test Cases'!$M$2:$M$203,"Failed")</f>
        <v/>
      </c>
      <c r="F8" s="31">
        <f>COUNTIFS('Test Cases'!$D$2:$D$203,$A8,'Test Cases'!$M$2:$M$203,"Blocked")</f>
        <v/>
      </c>
      <c r="G8" s="31">
        <f>COUNTIFS('Test Cases'!$D$2:$D$203,$A8,'Test Cases'!$M$2:$M$203,"Not Run")</f>
        <v/>
      </c>
      <c r="H8" s="31">
        <f>COUNTIFS('Test Cases'!$D$2:$D$203,$A8,'Test Cases'!$M$2:$M$203,"Retired")</f>
        <v/>
      </c>
      <c r="I8" s="31">
        <f>C8+D8+E8</f>
        <v/>
      </c>
      <c r="J8" s="32">
        <f>IF(I8=0,"-",(C8+D8)/I8)</f>
        <v/>
      </c>
    </row>
    <row r="9" ht="15" customHeight="1" s="18">
      <c r="A9" s="31" t="inlineStr">
        <is>
          <t>Booking</t>
        </is>
      </c>
      <c r="B9" s="31">
        <f>COUNTIF('Test Cases'!$D$2:$D$203,A9)</f>
        <v/>
      </c>
      <c r="C9" s="31">
        <f>COUNTIFS('Test Cases'!$D$2:$D$203,$A9,'Test Cases'!$M$2:$M$203,"Passed")</f>
        <v/>
      </c>
      <c r="D9" s="31">
        <f>COUNTIFS('Test Cases'!$D$2:$D$203,$A9,'Test Cases'!$M$2:$M$203,"Passed (Dev)")</f>
        <v/>
      </c>
      <c r="E9" s="31">
        <f>COUNTIFS('Test Cases'!$D$2:$D$203,$A9,'Test Cases'!$M$2:$M$203,"Failed")</f>
        <v/>
      </c>
      <c r="F9" s="31">
        <f>COUNTIFS('Test Cases'!$D$2:$D$203,$A9,'Test Cases'!$M$2:$M$203,"Blocked")</f>
        <v/>
      </c>
      <c r="G9" s="31">
        <f>COUNTIFS('Test Cases'!$D$2:$D$203,$A9,'Test Cases'!$M$2:$M$203,"Not Run")</f>
        <v/>
      </c>
      <c r="H9" s="31">
        <f>COUNTIFS('Test Cases'!$D$2:$D$203,$A9,'Test Cases'!$M$2:$M$203,"Retired")</f>
        <v/>
      </c>
      <c r="I9" s="31">
        <f>C9+D9+E9</f>
        <v/>
      </c>
      <c r="J9" s="32">
        <f>IF(I9=0,"-",(C9+D9)/I9)</f>
        <v/>
      </c>
    </row>
    <row r="10" ht="15" customHeight="1" s="18">
      <c r="A10" s="31" t="inlineStr">
        <is>
          <t>Trusted API</t>
        </is>
      </c>
      <c r="B10" s="31">
        <f>COUNTIF('Test Cases'!$D$2:$D$203,A10)</f>
        <v/>
      </c>
      <c r="C10" s="31">
        <f>COUNTIFS('Test Cases'!$D$2:$D$203,$A10,'Test Cases'!$M$2:$M$203,"Passed")</f>
        <v/>
      </c>
      <c r="D10" s="31">
        <f>COUNTIFS('Test Cases'!$D$2:$D$203,$A10,'Test Cases'!$M$2:$M$203,"Passed (Dev)")</f>
        <v/>
      </c>
      <c r="E10" s="31">
        <f>COUNTIFS('Test Cases'!$D$2:$D$203,$A10,'Test Cases'!$M$2:$M$203,"Failed")</f>
        <v/>
      </c>
      <c r="F10" s="31">
        <f>COUNTIFS('Test Cases'!$D$2:$D$203,$A10,'Test Cases'!$M$2:$M$203,"Blocked")</f>
        <v/>
      </c>
      <c r="G10" s="31">
        <f>COUNTIFS('Test Cases'!$D$2:$D$203,$A10,'Test Cases'!$M$2:$M$203,"Not Run")</f>
        <v/>
      </c>
      <c r="H10" s="31">
        <f>COUNTIFS('Test Cases'!$D$2:$D$203,$A10,'Test Cases'!$M$2:$M$203,"Retired")</f>
        <v/>
      </c>
      <c r="I10" s="31">
        <f>C10+D10+E10</f>
        <v/>
      </c>
      <c r="J10" s="32">
        <f>IF(I10=0,"-",(C10+D10)/I10)</f>
        <v/>
      </c>
    </row>
    <row r="11" ht="15" customHeight="1" s="18">
      <c r="A11" s="31" t="inlineStr">
        <is>
          <t>Ratings &amp; Completion</t>
        </is>
      </c>
      <c r="B11" s="31">
        <f>COUNTIF('Test Cases'!$D$2:$D$203,A11)</f>
        <v/>
      </c>
      <c r="C11" s="31">
        <f>COUNTIFS('Test Cases'!$D$2:$D$203,$A11,'Test Cases'!$M$2:$M$203,"Passed")</f>
        <v/>
      </c>
      <c r="D11" s="31">
        <f>COUNTIFS('Test Cases'!$D$2:$D$203,$A11,'Test Cases'!$M$2:$M$203,"Passed (Dev)")</f>
        <v/>
      </c>
      <c r="E11" s="31">
        <f>COUNTIFS('Test Cases'!$D$2:$D$203,$A11,'Test Cases'!$M$2:$M$203,"Failed")</f>
        <v/>
      </c>
      <c r="F11" s="31">
        <f>COUNTIFS('Test Cases'!$D$2:$D$203,$A11,'Test Cases'!$M$2:$M$203,"Blocked")</f>
        <v/>
      </c>
      <c r="G11" s="31">
        <f>COUNTIFS('Test Cases'!$D$2:$D$203,$A11,'Test Cases'!$M$2:$M$203,"Not Run")</f>
        <v/>
      </c>
      <c r="H11" s="31">
        <f>COUNTIFS('Test Cases'!$D$2:$D$203,$A11,'Test Cases'!$M$2:$M$203,"Retired")</f>
        <v/>
      </c>
      <c r="I11" s="31">
        <f>C11+D11+E11</f>
        <v/>
      </c>
      <c r="J11" s="32">
        <f>IF(I11=0,"-",(C11+D11)/I11)</f>
        <v/>
      </c>
    </row>
    <row r="12" ht="15" customHeight="1" s="18">
      <c r="A12" s="31" t="inlineStr">
        <is>
          <t>Disputes</t>
        </is>
      </c>
      <c r="B12" s="31">
        <f>COUNTIF('Test Cases'!$D$2:$D$203,A12)</f>
        <v/>
      </c>
      <c r="C12" s="31">
        <f>COUNTIFS('Test Cases'!$D$2:$D$203,$A12,'Test Cases'!$M$2:$M$203,"Passed")</f>
        <v/>
      </c>
      <c r="D12" s="31">
        <f>COUNTIFS('Test Cases'!$D$2:$D$203,$A12,'Test Cases'!$M$2:$M$203,"Passed (Dev)")</f>
        <v/>
      </c>
      <c r="E12" s="31">
        <f>COUNTIFS('Test Cases'!$D$2:$D$203,$A12,'Test Cases'!$M$2:$M$203,"Failed")</f>
        <v/>
      </c>
      <c r="F12" s="31">
        <f>COUNTIFS('Test Cases'!$D$2:$D$203,$A12,'Test Cases'!$M$2:$M$203,"Blocked")</f>
        <v/>
      </c>
      <c r="G12" s="31">
        <f>COUNTIFS('Test Cases'!$D$2:$D$203,$A12,'Test Cases'!$M$2:$M$203,"Not Run")</f>
        <v/>
      </c>
      <c r="H12" s="31">
        <f>COUNTIFS('Test Cases'!$D$2:$D$203,$A12,'Test Cases'!$M$2:$M$203,"Retired")</f>
        <v/>
      </c>
      <c r="I12" s="31">
        <f>C12+D12+E12</f>
        <v/>
      </c>
      <c r="J12" s="32">
        <f>IF(I12=0,"-",(C12+D12)/I12)</f>
        <v/>
      </c>
    </row>
    <row r="13" ht="15" customHeight="1" s="18">
      <c r="A13" s="31" t="inlineStr">
        <is>
          <t>Public Profile</t>
        </is>
      </c>
      <c r="B13" s="31">
        <f>COUNTIF('Test Cases'!$D$2:$D$203,A13)</f>
        <v/>
      </c>
      <c r="C13" s="31">
        <f>COUNTIFS('Test Cases'!$D$2:$D$203,$A13,'Test Cases'!$M$2:$M$203,"Passed")</f>
        <v/>
      </c>
      <c r="D13" s="31">
        <f>COUNTIFS('Test Cases'!$D$2:$D$203,$A13,'Test Cases'!$M$2:$M$203,"Passed (Dev)")</f>
        <v/>
      </c>
      <c r="E13" s="31">
        <f>COUNTIFS('Test Cases'!$D$2:$D$203,$A13,'Test Cases'!$M$2:$M$203,"Failed")</f>
        <v/>
      </c>
      <c r="F13" s="31">
        <f>COUNTIFS('Test Cases'!$D$2:$D$203,$A13,'Test Cases'!$M$2:$M$203,"Blocked")</f>
        <v/>
      </c>
      <c r="G13" s="31">
        <f>COUNTIFS('Test Cases'!$D$2:$D$203,$A13,'Test Cases'!$M$2:$M$203,"Not Run")</f>
        <v/>
      </c>
      <c r="H13" s="31">
        <f>COUNTIFS('Test Cases'!$D$2:$D$203,$A13,'Test Cases'!$M$2:$M$203,"Retired")</f>
        <v/>
      </c>
      <c r="I13" s="31">
        <f>C13+D13+E13</f>
        <v/>
      </c>
      <c r="J13" s="32">
        <f>IF(I13=0,"-",(C13+D13)/I13)</f>
        <v/>
      </c>
    </row>
    <row r="14" ht="15" customHeight="1" s="18">
      <c r="A14" s="31" t="inlineStr">
        <is>
          <t>Trust &amp; Fairness Score</t>
        </is>
      </c>
      <c r="B14" s="31">
        <f>COUNTIF('Test Cases'!$D$2:$D$203,A14)</f>
        <v/>
      </c>
      <c r="C14" s="31">
        <f>COUNTIFS('Test Cases'!$D$2:$D$203,$A14,'Test Cases'!$M$2:$M$203,"Passed")</f>
        <v/>
      </c>
      <c r="D14" s="31">
        <f>COUNTIFS('Test Cases'!$D$2:$D$203,$A14,'Test Cases'!$M$2:$M$203,"Passed (Dev)")</f>
        <v/>
      </c>
      <c r="E14" s="31">
        <f>COUNTIFS('Test Cases'!$D$2:$D$203,$A14,'Test Cases'!$M$2:$M$203,"Failed")</f>
        <v/>
      </c>
      <c r="F14" s="31">
        <f>COUNTIFS('Test Cases'!$D$2:$D$203,$A14,'Test Cases'!$M$2:$M$203,"Blocked")</f>
        <v/>
      </c>
      <c r="G14" s="31">
        <f>COUNTIFS('Test Cases'!$D$2:$D$203,$A14,'Test Cases'!$M$2:$M$203,"Not Run")</f>
        <v/>
      </c>
      <c r="H14" s="31">
        <f>COUNTIFS('Test Cases'!$D$2:$D$203,$A14,'Test Cases'!$M$2:$M$203,"Retired")</f>
        <v/>
      </c>
      <c r="I14" s="31">
        <f>C14+D14+E14</f>
        <v/>
      </c>
      <c r="J14" s="32">
        <f>IF(I14=0,"-",(C14+D14)/I14)</f>
        <v/>
      </c>
    </row>
    <row r="15" ht="15" customHeight="1" s="18">
      <c r="A15" s="31" t="inlineStr">
        <is>
          <t>Owner Dashboard &amp; My Listings</t>
        </is>
      </c>
      <c r="B15" s="31">
        <f>COUNTIF('Test Cases'!$D$2:$D$203,A15)</f>
        <v/>
      </c>
      <c r="C15" s="31">
        <f>COUNTIFS('Test Cases'!$D$2:$D$203,$A15,'Test Cases'!$M$2:$M$203,"Passed")</f>
        <v/>
      </c>
      <c r="D15" s="31">
        <f>COUNTIFS('Test Cases'!$D$2:$D$203,$A15,'Test Cases'!$M$2:$M$203,"Passed (Dev)")</f>
        <v/>
      </c>
      <c r="E15" s="31">
        <f>COUNTIFS('Test Cases'!$D$2:$D$203,$A15,'Test Cases'!$M$2:$M$203,"Failed")</f>
        <v/>
      </c>
      <c r="F15" s="31">
        <f>COUNTIFS('Test Cases'!$D$2:$D$203,$A15,'Test Cases'!$M$2:$M$203,"Blocked")</f>
        <v/>
      </c>
      <c r="G15" s="31">
        <f>COUNTIFS('Test Cases'!$D$2:$D$203,$A15,'Test Cases'!$M$2:$M$203,"Not Run")</f>
        <v/>
      </c>
      <c r="H15" s="31">
        <f>COUNTIFS('Test Cases'!$D$2:$D$203,$A15,'Test Cases'!$M$2:$M$203,"Retired")</f>
        <v/>
      </c>
      <c r="I15" s="31">
        <f>C15+D15+E15</f>
        <v/>
      </c>
      <c r="J15" s="32">
        <f>IF(I15=0,"-",(C15+D15)/I15)</f>
        <v/>
      </c>
    </row>
    <row r="16" ht="15" customHeight="1" s="18">
      <c r="A16" s="31" t="inlineStr">
        <is>
          <t>Notifications</t>
        </is>
      </c>
      <c r="B16" s="31">
        <f>COUNTIF('Test Cases'!$D$2:$D$203,A16)</f>
        <v/>
      </c>
      <c r="C16" s="31">
        <f>COUNTIFS('Test Cases'!$D$2:$D$203,$A16,'Test Cases'!$M$2:$M$203,"Passed")</f>
        <v/>
      </c>
      <c r="D16" s="31">
        <f>COUNTIFS('Test Cases'!$D$2:$D$203,$A16,'Test Cases'!$M$2:$M$203,"Passed (Dev)")</f>
        <v/>
      </c>
      <c r="E16" s="31">
        <f>COUNTIFS('Test Cases'!$D$2:$D$203,$A16,'Test Cases'!$M$2:$M$203,"Failed")</f>
        <v/>
      </c>
      <c r="F16" s="31">
        <f>COUNTIFS('Test Cases'!$D$2:$D$203,$A16,'Test Cases'!$M$2:$M$203,"Blocked")</f>
        <v/>
      </c>
      <c r="G16" s="31">
        <f>COUNTIFS('Test Cases'!$D$2:$D$203,$A16,'Test Cases'!$M$2:$M$203,"Not Run")</f>
        <v/>
      </c>
      <c r="H16" s="31">
        <f>COUNTIFS('Test Cases'!$D$2:$D$203,$A16,'Test Cases'!$M$2:$M$203,"Retired")</f>
        <v/>
      </c>
      <c r="I16" s="31">
        <f>C16+D16+E16</f>
        <v/>
      </c>
      <c r="J16" s="32">
        <f>IF(I16=0,"-",(C16+D16)/I16)</f>
        <v/>
      </c>
    </row>
    <row r="17" ht="15" customHeight="1" s="18">
      <c r="A17" s="31" t="inlineStr">
        <is>
          <t>Listing Map &amp; Privacy</t>
        </is>
      </c>
      <c r="B17" s="31">
        <f>COUNTIF('Test Cases'!$D$2:$D$203,A17)</f>
        <v/>
      </c>
      <c r="C17" s="31">
        <f>COUNTIFS('Test Cases'!$D$2:$D$203,$A17,'Test Cases'!$M$2:$M$203,"Passed")</f>
        <v/>
      </c>
      <c r="D17" s="31">
        <f>COUNTIFS('Test Cases'!$D$2:$D$203,$A17,'Test Cases'!$M$2:$M$203,"Passed (Dev)")</f>
        <v/>
      </c>
      <c r="E17" s="31">
        <f>COUNTIFS('Test Cases'!$D$2:$D$203,$A17,'Test Cases'!$M$2:$M$203,"Failed")</f>
        <v/>
      </c>
      <c r="F17" s="31">
        <f>COUNTIFS('Test Cases'!$D$2:$D$203,$A17,'Test Cases'!$M$2:$M$203,"Blocked")</f>
        <v/>
      </c>
      <c r="G17" s="31">
        <f>COUNTIFS('Test Cases'!$D$2:$D$203,$A17,'Test Cases'!$M$2:$M$203,"Not Run")</f>
        <v/>
      </c>
      <c r="H17" s="31">
        <f>COUNTIFS('Test Cases'!$D$2:$D$203,$A17,'Test Cases'!$M$2:$M$203,"Retired")</f>
        <v/>
      </c>
      <c r="I17" s="31">
        <f>C17+D17+E17</f>
        <v/>
      </c>
      <c r="J17" s="32">
        <f>IF(I17=0,"-",(C17+D17)/I17)</f>
        <v/>
      </c>
    </row>
    <row r="18" ht="15" customHeight="1" s="18">
      <c r="A18" s="31" t="inlineStr">
        <is>
          <t>Navigation &amp; Settings</t>
        </is>
      </c>
      <c r="B18" s="31">
        <f>COUNTIF('Test Cases'!$D$2:$D$203,A18)</f>
        <v/>
      </c>
      <c r="C18" s="31">
        <f>COUNTIFS('Test Cases'!$D$2:$D$203,$A18,'Test Cases'!$M$2:$M$203,"Passed")</f>
        <v/>
      </c>
      <c r="D18" s="31">
        <f>COUNTIFS('Test Cases'!$D$2:$D$203,$A18,'Test Cases'!$M$2:$M$203,"Passed (Dev)")</f>
        <v/>
      </c>
      <c r="E18" s="31">
        <f>COUNTIFS('Test Cases'!$D$2:$D$203,$A18,'Test Cases'!$M$2:$M$203,"Failed")</f>
        <v/>
      </c>
      <c r="F18" s="31">
        <f>COUNTIFS('Test Cases'!$D$2:$D$203,$A18,'Test Cases'!$M$2:$M$203,"Blocked")</f>
        <v/>
      </c>
      <c r="G18" s="31">
        <f>COUNTIFS('Test Cases'!$D$2:$D$203,$A18,'Test Cases'!$M$2:$M$203,"Not Run")</f>
        <v/>
      </c>
      <c r="H18" s="31">
        <f>COUNTIFS('Test Cases'!$D$2:$D$203,$A18,'Test Cases'!$M$2:$M$203,"Retired")</f>
        <v/>
      </c>
      <c r="I18" s="31">
        <f>C18+D18+E18</f>
        <v/>
      </c>
      <c r="J18" s="32">
        <f>IF(I18=0,"-",(C18+D18)/I18)</f>
        <v/>
      </c>
    </row>
    <row r="19" ht="15" customHeight="1" s="18">
      <c r="A19" s="31" t="inlineStr">
        <is>
          <t>Saved Searches (Retired)</t>
        </is>
      </c>
      <c r="B19" s="31">
        <f>COUNTIF('Test Cases'!$D$2:$D$203,A19)</f>
        <v/>
      </c>
      <c r="C19" s="31">
        <f>COUNTIFS('Test Cases'!$D$2:$D$203,$A19,'Test Cases'!$M$2:$M$203,"Passed")</f>
        <v/>
      </c>
      <c r="D19" s="31">
        <f>COUNTIFS('Test Cases'!$D$2:$D$203,$A19,'Test Cases'!$M$2:$M$203,"Passed (Dev)")</f>
        <v/>
      </c>
      <c r="E19" s="31">
        <f>COUNTIFS('Test Cases'!$D$2:$D$203,$A19,'Test Cases'!$M$2:$M$203,"Failed")</f>
        <v/>
      </c>
      <c r="F19" s="31">
        <f>COUNTIFS('Test Cases'!$D$2:$D$203,$A19,'Test Cases'!$M$2:$M$203,"Blocked")</f>
        <v/>
      </c>
      <c r="G19" s="31">
        <f>COUNTIFS('Test Cases'!$D$2:$D$203,$A19,'Test Cases'!$M$2:$M$203,"Not Run")</f>
        <v/>
      </c>
      <c r="H19" s="31">
        <f>COUNTIFS('Test Cases'!$D$2:$D$203,$A19,'Test Cases'!$M$2:$M$203,"Retired")</f>
        <v/>
      </c>
      <c r="I19" s="31">
        <f>C19+D19+E19</f>
        <v/>
      </c>
      <c r="J19" s="32">
        <f>IF(I19=0,"-",(C19+D19)/I19)</f>
        <v/>
      </c>
    </row>
    <row r="20" ht="15" customHeight="1" s="18">
      <c r="A20" s="31" t="inlineStr">
        <is>
          <t>Bank Catalog &amp; Loan</t>
        </is>
      </c>
      <c r="B20" s="31">
        <f>COUNTIF('Test Cases'!$D$2:$D$203,A20)</f>
        <v/>
      </c>
      <c r="C20" s="31">
        <f>COUNTIFS('Test Cases'!$D$2:$D$203,$A20,'Test Cases'!$M$2:$M$203,"Passed")</f>
        <v/>
      </c>
      <c r="D20" s="31">
        <f>COUNTIFS('Test Cases'!$D$2:$D$203,$A20,'Test Cases'!$M$2:$M$203,"Passed (Dev)")</f>
        <v/>
      </c>
      <c r="E20" s="31">
        <f>COUNTIFS('Test Cases'!$D$2:$D$203,$A20,'Test Cases'!$M$2:$M$203,"Failed")</f>
        <v/>
      </c>
      <c r="F20" s="31">
        <f>COUNTIFS('Test Cases'!$D$2:$D$203,$A20,'Test Cases'!$M$2:$M$203,"Blocked")</f>
        <v/>
      </c>
      <c r="G20" s="31">
        <f>COUNTIFS('Test Cases'!$D$2:$D$203,$A20,'Test Cases'!$M$2:$M$203,"Not Run")</f>
        <v/>
      </c>
      <c r="H20" s="31">
        <f>COUNTIFS('Test Cases'!$D$2:$D$203,$A20,'Test Cases'!$M$2:$M$203,"Retired")</f>
        <v/>
      </c>
      <c r="I20" s="31">
        <f>C20+D20+E20</f>
        <v/>
      </c>
      <c r="J20" s="32">
        <f>IF(I20=0,"-",(C20+D20)/I20)</f>
        <v/>
      </c>
    </row>
    <row r="21" ht="15" customHeight="1" s="18">
      <c r="A21" s="31" t="inlineStr">
        <is>
          <t>Admin Access &amp; Management</t>
        </is>
      </c>
      <c r="B21" s="31">
        <f>COUNTIF('Test Cases'!$D$2:$D$203,A21)</f>
        <v/>
      </c>
      <c r="C21" s="31">
        <f>COUNTIFS('Test Cases'!$D$2:$D$203,$A21,'Test Cases'!$M$2:$M$203,"Passed")</f>
        <v/>
      </c>
      <c r="D21" s="31">
        <f>COUNTIFS('Test Cases'!$D$2:$D$203,$A21,'Test Cases'!$M$2:$M$203,"Passed (Dev)")</f>
        <v/>
      </c>
      <c r="E21" s="31">
        <f>COUNTIFS('Test Cases'!$D$2:$D$203,$A21,'Test Cases'!$M$2:$M$203,"Failed")</f>
        <v/>
      </c>
      <c r="F21" s="31">
        <f>COUNTIFS('Test Cases'!$D$2:$D$203,$A21,'Test Cases'!$M$2:$M$203,"Blocked")</f>
        <v/>
      </c>
      <c r="G21" s="31">
        <f>COUNTIFS('Test Cases'!$D$2:$D$203,$A21,'Test Cases'!$M$2:$M$203,"Not Run")</f>
        <v/>
      </c>
      <c r="H21" s="31">
        <f>COUNTIFS('Test Cases'!$D$2:$D$203,$A21,'Test Cases'!$M$2:$M$203,"Retired")</f>
        <v/>
      </c>
      <c r="I21" s="31">
        <f>C21+D21+E21</f>
        <v/>
      </c>
      <c r="J21" s="32">
        <f>IF(I21=0,"-",(C21+D21)/I21)</f>
        <v/>
      </c>
    </row>
    <row r="22">
      <c r="A22" s="31" t="inlineStr">
        <is>
          <t>Security (Firestore Rules)</t>
        </is>
      </c>
      <c r="B22" s="31">
        <f>COUNTIF('Test Cases'!$D$2:$D$203,A22)</f>
        <v/>
      </c>
      <c r="C22" s="31">
        <f>COUNTIFS('Test Cases'!$D$2:$D$203,$A22,'Test Cases'!$M$2:$M$203,"Passed")</f>
        <v/>
      </c>
      <c r="D22" s="31">
        <f>COUNTIFS('Test Cases'!$D$2:$D$203,$A22,'Test Cases'!$M$2:$M$203,"Passed (Dev)")</f>
        <v/>
      </c>
      <c r="E22" s="31">
        <f>COUNTIFS('Test Cases'!$D$2:$D$203,$A22,'Test Cases'!$M$2:$M$203,"Failed")</f>
        <v/>
      </c>
      <c r="F22" s="31">
        <f>COUNTIFS('Test Cases'!$D$2:$D$203,$A22,'Test Cases'!$M$2:$M$203,"Blocked")</f>
        <v/>
      </c>
      <c r="G22" s="31">
        <f>COUNTIFS('Test Cases'!$D$2:$D$203,$A22,'Test Cases'!$M$2:$M$203,"Not Run")</f>
        <v/>
      </c>
      <c r="H22" s="31">
        <f>COUNTIFS('Test Cases'!$D$2:$D$203,$A22,'Test Cases'!$M$2:$M$203,"Retired")</f>
        <v/>
      </c>
      <c r="I22" s="31">
        <f>C22+D22+E22</f>
        <v/>
      </c>
      <c r="J22" s="32">
        <f>IF(I22=0,"-",(C22+D22)/I22)</f>
        <v/>
      </c>
    </row>
    <row r="23">
      <c r="A23" s="31" t="inlineStr">
        <is>
          <t>Operations</t>
        </is>
      </c>
      <c r="B23" s="31">
        <f>COUNTIF('Test Cases'!$D$2:$D$203,A23)</f>
        <v/>
      </c>
      <c r="C23" s="31">
        <f>COUNTIFS('Test Cases'!$D$2:$D$203,$A23,'Test Cases'!$M$2:$M$203,"Passed")</f>
        <v/>
      </c>
      <c r="D23" s="31">
        <f>COUNTIFS('Test Cases'!$D$2:$D$203,$A23,'Test Cases'!$M$2:$M$203,"Passed (Dev)")</f>
        <v/>
      </c>
      <c r="E23" s="31">
        <f>COUNTIFS('Test Cases'!$D$2:$D$203,$A23,'Test Cases'!$M$2:$M$203,"Failed")</f>
        <v/>
      </c>
      <c r="F23" s="31">
        <f>COUNTIFS('Test Cases'!$D$2:$D$203,$A23,'Test Cases'!$M$2:$M$203,"Blocked")</f>
        <v/>
      </c>
      <c r="G23" s="31">
        <f>COUNTIFS('Test Cases'!$D$2:$D$203,$A23,'Test Cases'!$M$2:$M$203,"Not Run")</f>
        <v/>
      </c>
      <c r="H23" s="31">
        <f>COUNTIFS('Test Cases'!$D$2:$D$203,$A23,'Test Cases'!$M$2:$M$203,"Retired")</f>
        <v/>
      </c>
      <c r="I23" s="31">
        <f>C23+D23+E23</f>
        <v/>
      </c>
      <c r="J23" s="32">
        <f>IF(I23=0,"-",(C23+D23)/I23)</f>
        <v/>
      </c>
    </row>
    <row r="24" ht="15" customHeight="1" s="18">
      <c r="A24" s="31" t="inlineStr">
        <is>
          <t>Release &amp; Non-functional</t>
        </is>
      </c>
      <c r="B24" s="31">
        <f>COUNTIF('Test Cases'!$D$2:$D$203,A24)</f>
        <v/>
      </c>
      <c r="C24" s="31">
        <f>COUNTIFS('Test Cases'!$D$2:$D$203,$A24,'Test Cases'!$M$2:$M$203,"Passed")</f>
        <v/>
      </c>
      <c r="D24" s="31">
        <f>COUNTIFS('Test Cases'!$D$2:$D$203,$A24,'Test Cases'!$M$2:$M$203,"Passed (Dev)")</f>
        <v/>
      </c>
      <c r="E24" s="31">
        <f>COUNTIFS('Test Cases'!$D$2:$D$203,$A24,'Test Cases'!$M$2:$M$203,"Failed")</f>
        <v/>
      </c>
      <c r="F24" s="31">
        <f>COUNTIFS('Test Cases'!$D$2:$D$203,$A24,'Test Cases'!$M$2:$M$203,"Blocked")</f>
        <v/>
      </c>
      <c r="G24" s="31">
        <f>COUNTIFS('Test Cases'!$D$2:$D$203,$A24,'Test Cases'!$M$2:$M$203,"Not Run")</f>
        <v/>
      </c>
      <c r="H24" s="31">
        <f>COUNTIFS('Test Cases'!$D$2:$D$203,$A24,'Test Cases'!$M$2:$M$203,"Retired")</f>
        <v/>
      </c>
      <c r="I24" s="31">
        <f>C24+D24+E24</f>
        <v/>
      </c>
      <c r="J24" s="32">
        <f>IF(I24=0,"-",(C24+D24)/I24)</f>
        <v/>
      </c>
    </row>
    <row r="25" ht="15" customHeight="1" s="18">
      <c r="A25" s="33" t="inlineStr">
        <is>
          <t>TOTAL</t>
        </is>
      </c>
      <c r="B25" s="33">
        <f>SUM(B3:B24)</f>
        <v/>
      </c>
      <c r="C25" s="33">
        <f>SUM(C3:C24)</f>
        <v/>
      </c>
      <c r="D25" s="33">
        <f>SUM(D3:D24)</f>
        <v/>
      </c>
      <c r="E25" s="33">
        <f>SUM(E3:E24)</f>
        <v/>
      </c>
      <c r="F25" s="33">
        <f>SUM(F3:F24)</f>
        <v/>
      </c>
      <c r="G25" s="33">
        <f>SUM(G3:G24)</f>
        <v/>
      </c>
      <c r="H25" s="33">
        <f>SUM(H3:H24)</f>
        <v/>
      </c>
      <c r="I25" s="33">
        <f>SUM(I3:I24)</f>
        <v/>
      </c>
      <c r="J25" s="34">
        <f>IF(I25=0,"-",(C25+D25)/I25)</f>
        <v/>
      </c>
    </row>
    <row r="26" ht="15" customHeight="1" s="18"/>
    <row r="27" ht="15" customHeight="1" s="18"/>
    <row r="28" ht="15" customHeight="1" s="18">
      <c r="A28" s="29" t="inlineStr">
        <is>
          <t>By Origin</t>
        </is>
      </c>
    </row>
    <row r="29">
      <c r="A29" s="35" t="inlineStr">
        <is>
          <t>Existing (QA doc)</t>
        </is>
      </c>
      <c r="B29" s="35">
        <f>COUNTIF('Test Cases'!$L$2:$L$203,A29)</f>
        <v/>
      </c>
    </row>
    <row r="30">
      <c r="A30" s="35" t="inlineStr">
        <is>
          <t>Updated</t>
        </is>
      </c>
      <c r="B30" s="35">
        <f>COUNTIF('Test Cases'!$L$2:$L$203,A30)</f>
        <v/>
      </c>
    </row>
    <row r="31" ht="15" customHeight="1" s="18">
      <c r="A31" s="35" t="inlineStr">
        <is>
          <t>New</t>
        </is>
      </c>
      <c r="B31" s="35">
        <f>COUNTIF('Test Cases'!$L$2:$L$203,A31)</f>
        <v/>
      </c>
    </row>
    <row r="32" ht="15" customHeight="1" s="18">
      <c r="A32" s="35" t="inlineStr">
        <is>
          <t>Retired</t>
        </is>
      </c>
      <c r="B32" s="35">
        <f>COUNTIF('Test Cases'!$L$2:$L$203,A32)</f>
        <v/>
      </c>
    </row>
    <row r="35">
      <c r="A35" s="35" t="inlineStr">
        <is>
          <t>Use cases</t>
        </is>
      </c>
      <c r="B35" s="35">
        <f>COUNTA('Use Cases'!A2:A49)</f>
        <v/>
      </c>
    </row>
    <row r="36">
      <c r="A36" s="35" t="inlineStr">
        <is>
          <t>Unassigned module check (should be 0)</t>
        </is>
      </c>
      <c r="B36" s="35">
        <f>COUNTA('Test Cases'!A2:A203)-B25</f>
        <v/>
      </c>
    </row>
    <row r="37">
      <c r="A37" s="36" t="inlineStr">
        <is>
          <t>Pass Rate = (Passed + Passed (Dev)) / Executed; Executed = Passed + Passed (Dev) + Failed.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70" customWidth="1" style="17" min="2" max="2"/>
    <col width="10" customWidth="1" style="17" min="3" max="3"/>
    <col width="30" customWidth="1" style="17" min="4" max="4"/>
    <col width="40" customWidth="1" style="17" min="5" max="5"/>
  </cols>
  <sheetData>
    <row r="1" ht="30" customHeight="1" s="18">
      <c r="A1" s="22" t="inlineStr">
        <is>
          <t>FR ID</t>
        </is>
      </c>
      <c r="B1" s="22" t="inlineStr">
        <is>
          <t>Requirement</t>
        </is>
      </c>
      <c r="C1" s="22" t="inlineStr">
        <is>
          <t>Priority</t>
        </is>
      </c>
      <c r="D1" s="22" t="inlineStr">
        <is>
          <t>Source</t>
        </is>
      </c>
      <c r="E1" s="22" t="inlineStr">
        <is>
          <t>Acceptance / Linked Tests</t>
        </is>
      </c>
    </row>
    <row r="2" ht="22.35" customHeight="1" s="18">
      <c r="A2" s="23" t="inlineStr">
        <is>
          <t>FR-002 (revise)</t>
        </is>
      </c>
      <c r="B2" s="24" t="inlineStr">
        <is>
          <t>The system shall require a non-empty description of at most 400 words; 150 words is shown as a recommendation.</t>
        </is>
      </c>
      <c r="C2" s="24" t="inlineStr">
        <is>
          <t>HIGH</t>
        </is>
      </c>
      <c r="D2" s="24" t="inlineStr">
        <is>
          <t>Progress Report P1 Description</t>
        </is>
      </c>
      <c r="E2" s="24" t="inlineStr">
        <is>
          <t>Empty/whitespace rejected; &lt;150 words accepted; &gt;400 rejected.</t>
        </is>
      </c>
    </row>
    <row r="3" ht="22.35" customHeight="1" s="18">
      <c r="A3" s="23" t="inlineStr">
        <is>
          <t>FR-008 (revise)</t>
        </is>
      </c>
      <c r="B3" s="24" t="inlineStr">
        <is>
          <t>Only the renter manually marks a booking Completed; the scheduled job completes expired Confirmed bookings.</t>
        </is>
      </c>
      <c r="C3" s="24" t="inlineStr">
        <is>
          <t>MEDIUM</t>
        </is>
      </c>
      <c r="D3" s="24" t="inlineStr">
        <is>
          <t>Progress Report P1 Completion</t>
        </is>
      </c>
      <c r="E3" s="24" t="inlineStr">
        <is>
          <t>Owner has no completion button; one Completed transition.</t>
        </is>
      </c>
    </row>
    <row r="4" ht="22.35" customHeight="1" s="18">
      <c r="A4" s="23" t="inlineStr">
        <is>
          <t>FR-009 (revise)</t>
        </is>
      </c>
      <c r="B4" s="24" t="inlineStr">
        <is>
          <t>Submitting a dispute sets the booking to Disputed and records its prior status; Dismissed restores it; Founded keeps Disputed.</t>
        </is>
      </c>
      <c r="C4" s="24" t="inlineStr">
        <is>
          <t>HIGH</t>
        </is>
      </c>
      <c r="D4" s="24" t="inlineStr">
        <is>
          <t>Progress Report P1 Dispute</t>
        </is>
      </c>
      <c r="E4" s="24" t="inlineStr">
        <is>
          <t>Booking and dispute states stay consistent; duplicate open disputes blocked.</t>
        </is>
      </c>
    </row>
    <row r="5" ht="15" customHeight="1" s="18">
      <c r="A5" s="23" t="inlineStr">
        <is>
          <t>FR-017 (retire)</t>
        </is>
      </c>
      <c r="B5" s="24" t="inlineStr">
        <is>
          <t>Saved Searches removed; /saved-searches redirects to Browse without deleting records.</t>
        </is>
      </c>
      <c r="C5" s="24" t="inlineStr">
        <is>
          <t>LOW</t>
        </is>
      </c>
      <c r="D5" s="24" t="inlineStr">
        <is>
          <t>Cleanup 2026-09-30</t>
        </is>
      </c>
      <c r="E5" s="24" t="inlineStr">
        <is>
          <t>Redirect works; data preserved.</t>
        </is>
      </c>
    </row>
    <row r="6" ht="22.35" customHeight="1" s="18">
      <c r="A6" s="23" t="inlineStr">
        <is>
          <t>FR-019</t>
        </is>
      </c>
      <c r="B6" s="24" t="inlineStr">
        <is>
          <t>Only profiles with role admin and status active can render admin routes; missing/unreadable profiles fail closed with retry.</t>
        </is>
      </c>
      <c r="C6" s="24" t="inlineStr">
        <is>
          <t>HIGH</t>
        </is>
      </c>
      <c r="D6" s="24" t="inlineStr">
        <is>
          <t>Progress Report P0 Admin login</t>
        </is>
      </c>
      <c r="E6" s="24" t="inlineStr">
        <is>
          <t>TC-ADM-003 to 008.</t>
        </is>
      </c>
    </row>
    <row r="7" ht="22.35" customHeight="1" s="18">
      <c r="A7" s="23" t="inlineStr">
        <is>
          <t>FR-020</t>
        </is>
      </c>
      <c r="B7" s="24" t="inlineStr">
        <is>
          <t>Admin notifications are limited to disputes; booking requests notify only the listing owner; feeds are isolated by rules.</t>
        </is>
      </c>
      <c r="C7" s="24" t="inlineStr">
        <is>
          <t>HIGH</t>
        </is>
      </c>
      <c r="D7" s="24" t="inlineStr">
        <is>
          <t>Progress Report P0 Notifications</t>
        </is>
      </c>
      <c r="E7" s="24" t="inlineStr">
        <is>
          <t>TC-NOTIF-005 to 009.</t>
        </is>
      </c>
    </row>
    <row r="8" ht="22.35" customHeight="1" s="18">
      <c r="A8" s="23" t="inlineStr">
        <is>
          <t>FR-021</t>
        </is>
      </c>
      <c r="B8" s="24" t="inlineStr">
        <is>
          <t>One My Activity page (Listings, Bookings, Requests tabs) and Settings with System/Light/Dark plus persisted accessibility preferences.</t>
        </is>
      </c>
      <c r="C8" s="24" t="inlineStr">
        <is>
          <t>LOW</t>
        </is>
      </c>
      <c r="D8" s="24" t="inlineStr">
        <is>
          <t>Progress Report P2 Navigation</t>
        </is>
      </c>
      <c r="E8" s="24" t="inlineStr">
        <is>
          <t>TC-NAV-001 to 004, TC-SET-001 to 003.</t>
        </is>
      </c>
    </row>
    <row r="9" ht="22.35" customHeight="1" s="18">
      <c r="A9" s="23" t="inlineStr">
        <is>
          <t>FR-022</t>
        </is>
      </c>
      <c r="B9" s="24" t="inlineStr">
        <is>
          <t>Optional approximate map pin stored as a 5-char geohash; exact address kept in listingPrivate readable by owner/admin only.</t>
        </is>
      </c>
      <c r="C9" s="24" t="inlineStr">
        <is>
          <t>MEDIUM</t>
        </is>
      </c>
      <c r="D9" s="24" t="inlineStr">
        <is>
          <t>Progress Report P2 Map</t>
        </is>
      </c>
      <c r="E9" s="24" t="inlineStr">
        <is>
          <t>TC-MAP-001 to 008, 011, 012.</t>
        </is>
      </c>
    </row>
    <row r="10" ht="22.35" customHeight="1" s="18">
      <c r="A10" s="23" t="inlineStr">
        <is>
          <t>FR-023</t>
        </is>
      </c>
      <c r="B10" s="24" t="inlineStr">
        <is>
          <t>My Listings shows photo, city, type, bedrooms, price, status, review note and per-listing pending-request counts.</t>
        </is>
      </c>
      <c r="C10" s="24" t="inlineStr">
        <is>
          <t>MEDIUM</t>
        </is>
      </c>
      <c r="D10" s="24" t="inlineStr">
        <is>
          <t>Progress Report P1 Owner visibility</t>
        </is>
      </c>
      <c r="E10" s="24" t="inlineStr">
        <is>
          <t>TC-MYL-001 to 006.</t>
        </is>
      </c>
    </row>
    <row r="11" ht="22.35" customHeight="1" s="18">
      <c r="A11" s="23" t="inlineStr">
        <is>
          <t>FR-024</t>
        </is>
      </c>
      <c r="B11" s="24" t="inlineStr">
        <is>
          <t>The renter sees the exact property address only after the booking is Confirmed.</t>
        </is>
      </c>
      <c r="C11" s="24" t="inlineStr">
        <is>
          <t>HIGH</t>
        </is>
      </c>
      <c r="D11" s="24" t="inlineStr">
        <is>
          <t>Build Instructions §2.1; cleanup 2026-09-30</t>
        </is>
      </c>
      <c r="E11" s="24" t="inlineStr">
        <is>
          <t>TC-MAP-009, 010.</t>
        </is>
      </c>
    </row>
    <row r="12">
      <c r="A12" s="25" t="inlineStr">
        <is>
          <t>FR-025</t>
        </is>
      </c>
      <c r="B12" s="26" t="inlineStr">
        <is>
          <t>Every listing shall declare a purpose (For rent: short-term nightly or long-term monthly; For sale: one-time asking price). Sale listings cannot be booked.</t>
        </is>
      </c>
      <c r="C12" s="26" t="inlineStr">
        <is>
          <t>HIGH</t>
        </is>
      </c>
      <c r="D12" s="26" t="inlineStr">
        <is>
          <t>Progress Report Oct 1</t>
        </is>
      </c>
      <c r="E12" s="26" t="inlineStr">
        <is>
          <t>TC-PURP-001 to 006.</t>
        </is>
      </c>
    </row>
    <row r="13">
      <c r="A13" s="25" t="inlineStr">
        <is>
          <t>FR-026</t>
        </is>
      </c>
      <c r="B13" s="26" t="inlineStr">
        <is>
          <t>Submitting a listing shall create an admin listing_submitted alert in the same write batch, linking to the review item.</t>
        </is>
      </c>
      <c r="C13" s="26" t="inlineStr">
        <is>
          <t>MEDIUM</t>
        </is>
      </c>
      <c r="D13" s="26" t="inlineStr">
        <is>
          <t>Progress Report Oct 1</t>
        </is>
      </c>
      <c r="E13" s="26" t="inlineStr">
        <is>
          <t>TC-NOTIF-012, 013.</t>
        </is>
      </c>
    </row>
    <row r="14">
      <c r="A14" s="25" t="inlineStr">
        <is>
          <t>FR-027</t>
        </is>
      </c>
      <c r="B14" s="26" t="inlineStr">
        <is>
          <t>Booking confirmation shall run only on the trusted API (Firebase ID token, owner + active check, Firestore transaction with per-listing lock). Clients cannot write status Confirmed.</t>
        </is>
      </c>
      <c r="C14" s="26" t="inlineStr">
        <is>
          <t>CRITICAL</t>
        </is>
      </c>
      <c r="D14" s="26" t="inlineStr">
        <is>
          <t>Architecture ADR-002; F-05</t>
        </is>
      </c>
      <c r="E14" s="26" t="inlineStr">
        <is>
          <t>TC-API-001 to 010, TC-SEC-002.</t>
        </is>
      </c>
    </row>
    <row r="15">
      <c r="A15" s="25" t="inlineStr">
        <is>
          <t>FR-028</t>
        </is>
      </c>
      <c r="B15" s="26" t="inlineStr">
        <is>
          <t>Verification documents shall be stored as Cloudinary authenticated assets and delivered only through short-lived signed URLs issued to the owner or an admin.</t>
        </is>
      </c>
      <c r="C15" s="26" t="inlineStr">
        <is>
          <t>CRITICAL</t>
        </is>
      </c>
      <c r="D15" s="26" t="inlineStr">
        <is>
          <t>Security &amp; Privacy §5; F-16</t>
        </is>
      </c>
      <c r="E15" s="26" t="inlineStr">
        <is>
          <t>TC-DOC-001 to 009, TC-VER-006.</t>
        </is>
      </c>
    </row>
    <row r="16">
      <c r="A16" s="25" t="inlineStr">
        <is>
          <t>FR-029</t>
        </is>
      </c>
      <c r="B16" s="26" t="inlineStr">
        <is>
          <t>Notification rows navigate to their link, mark read on open, and support Clear and Clear read.</t>
        </is>
      </c>
      <c r="C16" s="26" t="inlineStr">
        <is>
          <t>LOW</t>
        </is>
      </c>
      <c r="D16" s="26" t="inlineStr">
        <is>
          <t>Progress Report Oct 1</t>
        </is>
      </c>
      <c r="E16" s="26" t="inlineStr">
        <is>
          <t>TC-NOTIF-014, 015.</t>
        </is>
      </c>
    </row>
    <row r="17">
      <c r="A17" s="25" t="inlineStr">
        <is>
          <t>NFR-COST-01</t>
        </is>
      </c>
      <c r="B17" s="26" t="inlineStr">
        <is>
          <t>The system shall run without any service that requires a credit card (Firebase Spark, Cloudinary Free, Vercel Hobby, GitHub Actions).</t>
        </is>
      </c>
      <c r="C17" s="26" t="inlineStr">
        <is>
          <t>HIGH</t>
        </is>
      </c>
      <c r="D17" s="26" t="inlineStr">
        <is>
          <t>Team constraint</t>
        </is>
      </c>
      <c r="E17" s="26" t="inlineStr">
        <is>
          <t>TC-OPS-005.</t>
        </is>
      </c>
    </row>
    <row r="18">
      <c r="A18" s="25" t="inlineStr">
        <is>
          <t>NFR-SEC-02</t>
        </is>
      </c>
      <c r="B18" s="26" t="inlineStr">
        <is>
          <t>Service-account keys are issued per consumer, stored only as CI/host secrets, and rotated after any exposure.</t>
        </is>
      </c>
      <c r="C18" s="26" t="inlineStr">
        <is>
          <t>HIGH</t>
        </is>
      </c>
      <c r="D18" s="26" t="inlineStr">
        <is>
          <t>F-01</t>
        </is>
      </c>
      <c r="E18" s="26" t="inlineStr">
        <is>
          <t>TC-OPS-001, 002.</t>
        </is>
      </c>
    </row>
    <row r="19">
      <c r="A19" s="25" t="inlineStr">
        <is>
          <t>NFR-REL-02</t>
        </is>
      </c>
      <c r="B19" s="26" t="inlineStr">
        <is>
          <t>A restorable Firestore backup is taken before every migration or rules change.</t>
        </is>
      </c>
      <c r="C19" s="26" t="inlineStr">
        <is>
          <t>HIGH</t>
        </is>
      </c>
      <c r="D19" s="26" t="inlineStr">
        <is>
          <t>Infrastructure §8</t>
        </is>
      </c>
      <c r="E19" s="26" t="inlineStr">
        <is>
          <t>TC-OPS-003.</t>
        </is>
      </c>
    </row>
  </sheetData>
  <autoFilter ref="A1:E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2026-09-30T00:43:54Z</dcterms:created>
  <dcterms:modified xmlns:dcterms="http://purl.org/dc/terms/" xmlns:xsi="http://www.w3.org/2001/XMLSchema-instance" xsi:type="dcterms:W3CDTF">2026-10-01T04:01:57Z</dcterms:modified>
  <cp:revision>0</cp:revision>
</cp:coreProperties>
</file>